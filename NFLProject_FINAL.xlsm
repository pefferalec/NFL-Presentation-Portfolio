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3.xml" ContentType="application/vnd.openxmlformats-officedocument.drawing+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charts/chart76.xml" ContentType="application/vnd.openxmlformats-officedocument.drawingml.chart+xml"/>
  <Override PartName="/xl/charts/style76.xml" ContentType="application/vnd.ms-office.chartstyle+xml"/>
  <Override PartName="/xl/charts/colors76.xml" ContentType="application/vnd.ms-office.chartcolorstyle+xml"/>
  <Override PartName="/xl/charts/chart77.xml" ContentType="application/vnd.openxmlformats-officedocument.drawingml.chart+xml"/>
  <Override PartName="/xl/charts/style77.xml" ContentType="application/vnd.ms-office.chartstyle+xml"/>
  <Override PartName="/xl/charts/colors77.xml" ContentType="application/vnd.ms-office.chartcolorstyle+xml"/>
  <Override PartName="/xl/charts/chart78.xml" ContentType="application/vnd.openxmlformats-officedocument.drawingml.chart+xml"/>
  <Override PartName="/xl/charts/style78.xml" ContentType="application/vnd.ms-office.chartstyle+xml"/>
  <Override PartName="/xl/charts/colors78.xml" ContentType="application/vnd.ms-office.chartcolorstyle+xml"/>
  <Override PartName="/xl/charts/chart79.xml" ContentType="application/vnd.openxmlformats-officedocument.drawingml.chart+xml"/>
  <Override PartName="/xl/charts/style79.xml" ContentType="application/vnd.ms-office.chartstyle+xml"/>
  <Override PartName="/xl/charts/colors79.xml" ContentType="application/vnd.ms-office.chartcolorstyle+xml"/>
  <Override PartName="/xl/charts/chart80.xml" ContentType="application/vnd.openxmlformats-officedocument.drawingml.chart+xml"/>
  <Override PartName="/xl/charts/style80.xml" ContentType="application/vnd.ms-office.chartstyle+xml"/>
  <Override PartName="/xl/charts/colors80.xml" ContentType="application/vnd.ms-office.chartcolorstyle+xml"/>
  <Override PartName="/xl/drawings/drawing5.xml" ContentType="application/vnd.openxmlformats-officedocument.drawing+xml"/>
  <Override PartName="/xl/ctrlProps/ctrlProp1.xml" ContentType="application/vnd.ms-excel.controlproperties+xml"/>
  <Override PartName="/xl/drawings/drawing6.xml" ContentType="application/vnd.openxmlformats-officedocument.drawing+xml"/>
  <Override PartName="/xl/charts/chart81.xml" ContentType="application/vnd.openxmlformats-officedocument.drawingml.chart+xml"/>
  <Override PartName="/xl/charts/style81.xml" ContentType="application/vnd.ms-office.chartstyle+xml"/>
  <Override PartName="/xl/charts/colors81.xml" ContentType="application/vnd.ms-office.chartcolorstyle+xml"/>
  <Override PartName="/xl/drawings/drawing7.xml" ContentType="application/vnd.openxmlformats-officedocument.drawing+xml"/>
  <Override PartName="/xl/charts/chart82.xml" ContentType="application/vnd.openxmlformats-officedocument.drawingml.chart+xml"/>
  <Override PartName="/xl/charts/style82.xml" ContentType="application/vnd.ms-office.chartstyle+xml"/>
  <Override PartName="/xl/charts/colors82.xml" ContentType="application/vnd.ms-office.chartcolorstyle+xml"/>
  <Override PartName="/xl/drawings/drawing8.xml" ContentType="application/vnd.openxmlformats-officedocument.drawing+xml"/>
  <Override PartName="/xl/charts/chart83.xml" ContentType="application/vnd.openxmlformats-officedocument.drawingml.chart+xml"/>
  <Override PartName="/xl/charts/style83.xml" ContentType="application/vnd.ms-office.chartstyle+xml"/>
  <Override PartName="/xl/charts/colors83.xml" ContentType="application/vnd.ms-office.chartcolorstyle+xml"/>
  <Override PartName="/xl/drawings/drawing9.xml" ContentType="application/vnd.openxmlformats-officedocument.drawing+xml"/>
  <Override PartName="/xl/charts/chart84.xml" ContentType="application/vnd.openxmlformats-officedocument.drawingml.chart+xml"/>
  <Override PartName="/xl/charts/style84.xml" ContentType="application/vnd.ms-office.chartstyle+xml"/>
  <Override PartName="/xl/charts/colors8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1" codeName="{F4499BBC-C50B-8ECA-441A-04C5B9BE7170}"/>
  <workbookPr codeName="ThisWorkbook" defaultThemeVersion="166925"/>
  <mc:AlternateContent xmlns:mc="http://schemas.openxmlformats.org/markup-compatibility/2006">
    <mc:Choice Requires="x15">
      <x15ac:absPath xmlns:x15ac="http://schemas.microsoft.com/office/spreadsheetml/2010/11/ac" url="/Users/pefferalec/Downloads/"/>
    </mc:Choice>
  </mc:AlternateContent>
  <xr:revisionPtr revIDLastSave="0" documentId="13_ncr:1_{7F88B84C-9349-A94C-9CCD-065003341600}" xr6:coauthVersionLast="47" xr6:coauthVersionMax="47" xr10:uidLastSave="{00000000-0000-0000-0000-000000000000}"/>
  <bookViews>
    <workbookView xWindow="4340" yWindow="500" windowWidth="23260" windowHeight="13900" activeTab="4" xr2:uid="{4E75997E-8067-4D9F-AC53-023377998A33}"/>
  </bookViews>
  <sheets>
    <sheet name="AZ Cardinals" sheetId="1" state="hidden" r:id="rId1"/>
    <sheet name="SEA Seahawks" sheetId="2" state="hidden" r:id="rId2"/>
    <sheet name="LA STL Rams" sheetId="3" state="hidden" r:id="rId3"/>
    <sheet name="SF 49ers" sheetId="5" state="hidden" r:id="rId4"/>
    <sheet name="Main Sheet" sheetId="32" r:id="rId5"/>
    <sheet name="Raw Data.All_AUX" sheetId="17" state="hidden" r:id="rId6"/>
    <sheet name="Cardinals PDF" sheetId="18" state="hidden" r:id="rId7"/>
    <sheet name="Seahawks PDF" sheetId="19" state="hidden" r:id="rId8"/>
    <sheet name="Rams PDF" sheetId="20" state="hidden" r:id="rId9"/>
    <sheet name="49ers PDF" sheetId="21" state="hidden" r:id="rId10"/>
    <sheet name="Raw Data.All" sheetId="37" state="hidden" r:id="rId11"/>
  </sheets>
  <definedNames>
    <definedName name="_xleta.MAX"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4" i="17" l="1"/>
  <c r="L23" i="17"/>
  <c r="L22" i="17"/>
  <c r="K24" i="17"/>
  <c r="K23" i="17"/>
  <c r="K22" i="17"/>
  <c r="I24" i="17"/>
  <c r="I23" i="17"/>
  <c r="I22" i="17"/>
  <c r="H24" i="17"/>
  <c r="H23" i="17"/>
  <c r="H22" i="17"/>
  <c r="F24" i="17"/>
  <c r="F23" i="17"/>
  <c r="F22" i="17"/>
  <c r="E24" i="17"/>
  <c r="E23" i="17"/>
  <c r="E22" i="17"/>
  <c r="C24" i="17"/>
  <c r="C23" i="17"/>
  <c r="C22" i="17"/>
  <c r="B24" i="17"/>
  <c r="B23" i="17"/>
  <c r="B22" i="17"/>
  <c r="K21" i="17"/>
  <c r="H21" i="17"/>
  <c r="E21" i="17"/>
  <c r="B21" i="17"/>
  <c r="K20" i="17"/>
  <c r="H20" i="17"/>
  <c r="E20" i="17"/>
  <c r="B20" i="17"/>
  <c r="K19" i="17"/>
  <c r="H19" i="17"/>
  <c r="E19" i="17"/>
  <c r="B19" i="17"/>
  <c r="K18" i="17"/>
  <c r="H18" i="17"/>
  <c r="E18" i="17"/>
  <c r="B18" i="17"/>
  <c r="K17" i="17"/>
  <c r="H17" i="17"/>
  <c r="E17" i="17"/>
  <c r="B17" i="17"/>
  <c r="K16" i="17"/>
  <c r="H16" i="17"/>
  <c r="E16" i="17"/>
  <c r="B16" i="17"/>
  <c r="K15" i="17"/>
  <c r="H15" i="17"/>
  <c r="E15" i="17"/>
  <c r="B15" i="17"/>
  <c r="K14" i="17"/>
  <c r="H14" i="17"/>
  <c r="E14" i="17"/>
  <c r="B14" i="17"/>
  <c r="K13" i="17"/>
  <c r="H13" i="17"/>
  <c r="E13" i="17"/>
  <c r="B13" i="17"/>
  <c r="K12" i="17"/>
  <c r="H12" i="17"/>
  <c r="E12" i="17"/>
  <c r="B12" i="17"/>
  <c r="K11" i="17"/>
  <c r="H11" i="17"/>
  <c r="E11" i="17"/>
  <c r="B11" i="17"/>
  <c r="K10" i="17"/>
  <c r="H10" i="17"/>
  <c r="E10" i="17"/>
  <c r="B10" i="17"/>
  <c r="K9" i="17"/>
  <c r="H9" i="17"/>
  <c r="E9" i="17"/>
  <c r="B9" i="17"/>
  <c r="K8" i="17"/>
  <c r="H8" i="17"/>
  <c r="E8" i="17"/>
  <c r="B8" i="17"/>
  <c r="K7" i="17"/>
  <c r="H7" i="17"/>
  <c r="E7" i="17"/>
  <c r="B7" i="17"/>
  <c r="K6" i="17"/>
  <c r="H6" i="17"/>
  <c r="E6" i="17"/>
  <c r="B6" i="17"/>
  <c r="K5" i="17"/>
  <c r="H5" i="17"/>
  <c r="E5" i="17"/>
  <c r="B5" i="17"/>
  <c r="K4" i="17"/>
  <c r="H4" i="17"/>
  <c r="E4" i="17"/>
  <c r="B4" i="17"/>
  <c r="K3" i="17"/>
  <c r="H3" i="17"/>
  <c r="E3" i="17"/>
  <c r="B3" i="17"/>
  <c r="K2" i="17"/>
  <c r="H2" i="17"/>
  <c r="E2" i="17"/>
  <c r="B2" i="17"/>
  <c r="B21" i="37"/>
  <c r="B20" i="37"/>
  <c r="B19" i="37"/>
  <c r="B18" i="37"/>
  <c r="B17" i="37"/>
  <c r="B16" i="37"/>
  <c r="B15" i="37"/>
  <c r="B14" i="37"/>
  <c r="B13" i="37"/>
  <c r="B12" i="37"/>
  <c r="B11" i="37"/>
  <c r="B10" i="37"/>
  <c r="B9" i="37"/>
  <c r="B8" i="37"/>
  <c r="B7" i="37"/>
  <c r="B6" i="37"/>
  <c r="B5" i="37"/>
  <c r="B4" i="37"/>
  <c r="B3" i="37"/>
  <c r="B2" i="37"/>
  <c r="G361" i="1"/>
  <c r="G343" i="1"/>
  <c r="G324" i="1"/>
  <c r="G307" i="1"/>
  <c r="G289" i="1"/>
  <c r="G271" i="1"/>
  <c r="G253" i="1"/>
  <c r="G235" i="1"/>
  <c r="G217" i="1"/>
  <c r="G199" i="1"/>
  <c r="G181" i="1"/>
  <c r="G163" i="1"/>
  <c r="G145" i="1"/>
  <c r="G127" i="1"/>
  <c r="G109" i="1"/>
  <c r="G91" i="1"/>
  <c r="G72" i="1"/>
  <c r="G54" i="1"/>
  <c r="G36" i="1"/>
  <c r="G18" i="1"/>
  <c r="K21" i="37"/>
  <c r="K20" i="37"/>
  <c r="K19" i="37"/>
  <c r="K18" i="37"/>
  <c r="K17" i="37"/>
  <c r="K16" i="37"/>
  <c r="K15" i="37"/>
  <c r="K14" i="37"/>
  <c r="K13" i="37"/>
  <c r="K12" i="37"/>
  <c r="K11" i="37"/>
  <c r="K10" i="37"/>
  <c r="K9" i="37"/>
  <c r="K8" i="37"/>
  <c r="K7" i="37"/>
  <c r="K6" i="37"/>
  <c r="K5" i="37"/>
  <c r="K4" i="37"/>
  <c r="K3" i="37"/>
  <c r="K2" i="37"/>
  <c r="G361" i="5"/>
  <c r="G343" i="5"/>
  <c r="G324" i="5"/>
  <c r="G307" i="5"/>
  <c r="G289" i="5"/>
  <c r="G271" i="5"/>
  <c r="G253" i="5"/>
  <c r="G235" i="5"/>
  <c r="G217" i="5"/>
  <c r="G199" i="5"/>
  <c r="G181" i="5"/>
  <c r="G163" i="5"/>
  <c r="G145" i="5"/>
  <c r="G127" i="5"/>
  <c r="G109" i="5"/>
  <c r="G91" i="5"/>
  <c r="G72" i="5"/>
  <c r="G54" i="5"/>
  <c r="G36" i="5"/>
  <c r="G18" i="5"/>
  <c r="H21" i="37"/>
  <c r="H20" i="37"/>
  <c r="H19" i="37"/>
  <c r="H18" i="37"/>
  <c r="H17" i="37"/>
  <c r="H16" i="37"/>
  <c r="H15" i="37"/>
  <c r="H14" i="37"/>
  <c r="H13" i="37"/>
  <c r="H12" i="37"/>
  <c r="H11" i="37"/>
  <c r="H10" i="37"/>
  <c r="H9" i="37"/>
  <c r="H8" i="37"/>
  <c r="H7" i="37"/>
  <c r="H6" i="37"/>
  <c r="H5" i="37"/>
  <c r="H4" i="37"/>
  <c r="H3" i="37"/>
  <c r="H2" i="37"/>
  <c r="G361" i="3"/>
  <c r="G343" i="3"/>
  <c r="G324" i="3"/>
  <c r="G307" i="3"/>
  <c r="G289" i="3"/>
  <c r="G271" i="3"/>
  <c r="G253" i="3"/>
  <c r="G235" i="3"/>
  <c r="G217" i="3"/>
  <c r="G199" i="3"/>
  <c r="G181" i="3"/>
  <c r="G163" i="3"/>
  <c r="G145" i="3"/>
  <c r="G127" i="3"/>
  <c r="G109" i="3"/>
  <c r="G91" i="3"/>
  <c r="G72" i="3"/>
  <c r="G54" i="3"/>
  <c r="G36" i="3"/>
  <c r="G18" i="3"/>
  <c r="E21" i="37"/>
  <c r="E20" i="37"/>
  <c r="E19" i="37"/>
  <c r="E18" i="37"/>
  <c r="E17" i="37"/>
  <c r="E16" i="37"/>
  <c r="E15" i="37"/>
  <c r="E14" i="37"/>
  <c r="E13" i="37"/>
  <c r="E12" i="37"/>
  <c r="E11" i="37"/>
  <c r="E10" i="37"/>
  <c r="E9" i="37"/>
  <c r="E8" i="37"/>
  <c r="E7" i="37"/>
  <c r="E6" i="37"/>
  <c r="E5" i="37"/>
  <c r="E4" i="37"/>
  <c r="E3" i="37"/>
  <c r="E2" i="37"/>
  <c r="G361" i="2"/>
  <c r="G343" i="2"/>
  <c r="G324" i="2"/>
  <c r="G307" i="2"/>
  <c r="G289" i="2"/>
  <c r="G271" i="2"/>
  <c r="G253" i="2"/>
  <c r="G235" i="2"/>
  <c r="G217" i="2"/>
  <c r="G199" i="2"/>
  <c r="G181" i="2"/>
  <c r="G163" i="2"/>
  <c r="G145" i="2"/>
  <c r="G127" i="2"/>
  <c r="G109" i="2"/>
  <c r="G91" i="2"/>
  <c r="G72" i="2"/>
  <c r="G54" i="2"/>
  <c r="G36" i="2"/>
  <c r="G18" i="2"/>
  <c r="I41" i="18"/>
  <c r="I40" i="18"/>
  <c r="I41" i="21"/>
  <c r="I40" i="21"/>
  <c r="I41" i="20"/>
  <c r="I40" i="20"/>
  <c r="I41" i="19"/>
  <c r="I40" i="19"/>
  <c r="I39" i="19" l="1"/>
  <c r="I39" i="18"/>
  <c r="I38" i="18"/>
  <c r="I37" i="18"/>
  <c r="I38" i="21"/>
  <c r="I39" i="21"/>
  <c r="I37" i="21"/>
  <c r="I39" i="20"/>
  <c r="I38" i="20"/>
  <c r="I37" i="20"/>
  <c r="G306" i="1"/>
  <c r="G288" i="1"/>
  <c r="G270" i="1"/>
  <c r="G252" i="1"/>
  <c r="H235" i="1"/>
  <c r="H217" i="1"/>
  <c r="H199" i="1"/>
  <c r="H181" i="1"/>
  <c r="E361" i="1"/>
  <c r="I37" i="19" l="1"/>
  <c r="I38" i="19"/>
</calcChain>
</file>

<file path=xl/sharedStrings.xml><?xml version="1.0" encoding="utf-8"?>
<sst xmlns="http://schemas.openxmlformats.org/spreadsheetml/2006/main" count="5549" uniqueCount="89">
  <si>
    <t>team</t>
  </si>
  <si>
    <t>team_name</t>
  </si>
  <si>
    <t>year</t>
  </si>
  <si>
    <t>week</t>
  </si>
  <si>
    <t>weekly_attendance</t>
  </si>
  <si>
    <t>Home/Away</t>
  </si>
  <si>
    <t>wins</t>
  </si>
  <si>
    <t>loss</t>
  </si>
  <si>
    <t>playoffs</t>
  </si>
  <si>
    <t>sb_winner</t>
  </si>
  <si>
    <t>Arizona</t>
  </si>
  <si>
    <t>Cardinals</t>
  </si>
  <si>
    <t>away</t>
  </si>
  <si>
    <t>home</t>
  </si>
  <si>
    <t>BYE</t>
  </si>
  <si>
    <t>Home</t>
  </si>
  <si>
    <t>2000 - 2001</t>
  </si>
  <si>
    <t>No Playoffs</t>
  </si>
  <si>
    <t>No Superbowl</t>
  </si>
  <si>
    <t>2001 - 2002</t>
  </si>
  <si>
    <t>2002 - 2003</t>
  </si>
  <si>
    <t>2003 - 2004</t>
  </si>
  <si>
    <t>2004 - 2005</t>
  </si>
  <si>
    <t>home'</t>
  </si>
  <si>
    <t xml:space="preserve">home </t>
  </si>
  <si>
    <t>2005 - 2006</t>
  </si>
  <si>
    <t>2006 - 2007</t>
  </si>
  <si>
    <t>2007 - 2008</t>
  </si>
  <si>
    <t>2008 - 2009</t>
  </si>
  <si>
    <t>Playoffs</t>
  </si>
  <si>
    <t>Super Bowl Appearance</t>
  </si>
  <si>
    <t>2009 - 2010</t>
  </si>
  <si>
    <t>2010 - 2011</t>
  </si>
  <si>
    <t>2011 - 2012</t>
  </si>
  <si>
    <t>2012 - 2013</t>
  </si>
  <si>
    <t>2013 - 2014</t>
  </si>
  <si>
    <t>2014 - 2015</t>
  </si>
  <si>
    <t>2015 - 2016</t>
  </si>
  <si>
    <t>2016 - 2017</t>
  </si>
  <si>
    <t>2017 - 2018</t>
  </si>
  <si>
    <t>2018 - 2019</t>
  </si>
  <si>
    <t>2019 - 2020</t>
  </si>
  <si>
    <t>Seattle</t>
  </si>
  <si>
    <t>Seahawks</t>
  </si>
  <si>
    <t>Away</t>
  </si>
  <si>
    <t>Won Superbowl</t>
  </si>
  <si>
    <t>Bye</t>
  </si>
  <si>
    <t>bye</t>
  </si>
  <si>
    <t>St. Louis</t>
  </si>
  <si>
    <t>Rams</t>
  </si>
  <si>
    <t>Los Angeles</t>
  </si>
  <si>
    <t>NEW</t>
  </si>
  <si>
    <t>STADIUM</t>
  </si>
  <si>
    <t>San Francisco</t>
  </si>
  <si>
    <t>49ers</t>
  </si>
  <si>
    <t>Year</t>
  </si>
  <si>
    <t>AZ Cardinals</t>
  </si>
  <si>
    <t>SEA Seahawks</t>
  </si>
  <si>
    <t>LA STL Rams</t>
  </si>
  <si>
    <t>SF 49ers</t>
  </si>
  <si>
    <t>Post Season Performance</t>
  </si>
  <si>
    <t>WINS</t>
  </si>
  <si>
    <t>&lt;Date and Time&gt;</t>
  </si>
  <si>
    <t>If you have any questions or comments regarding the report, feel free to reach us at melko004@csusm.edu.</t>
  </si>
  <si>
    <t>Regards,</t>
  </si>
  <si>
    <t>Fan Engagement &amp; Performance Overview: Arizona Cardinals, 2000-2019</t>
  </si>
  <si>
    <t>Data Summary</t>
  </si>
  <si>
    <t>Average Home Attendence</t>
  </si>
  <si>
    <t>Highest Attendence (Year)</t>
  </si>
  <si>
    <t>Lowest Attendence (Year)</t>
  </si>
  <si>
    <t>Average Wins per Season</t>
  </si>
  <si>
    <t>Playoff Appearances</t>
  </si>
  <si>
    <t>Metric:</t>
  </si>
  <si>
    <t>2000-2019 Value:</t>
  </si>
  <si>
    <t>Executive Summary:</t>
  </si>
  <si>
    <t>The CSUSM Analytics Team</t>
  </si>
  <si>
    <t>Prepared by California State University San Marcos Business Analysts as part of a multi-team study on NFL team trends in attendence, wins, and playoff participation:</t>
  </si>
  <si>
    <t>This report presents a snapshot of the Cardinals home attendance, win totals, and playoff appearances across the 2000-2019 NFL seasons. The chart below</t>
  </si>
  <si>
    <t>visualizes key trends in fan engagement and team performance over time. Our analysis explores how fan turnout correlates with team success, identifying</t>
  </si>
  <si>
    <t>patterns that may inform ticketing, marketing, and engagement strategies. This project is part of a broader comparative study across multiple NFL teams.</t>
  </si>
  <si>
    <t>We would be pleased to share deeper insights or collaborate with your analytics or marketing teams to discuss findings in more detail.</t>
  </si>
  <si>
    <t>This report presents a snapshot of the Seahawks home attendance, win totals, and playoff appearances across the 2000-2019 NFL seasons. The chart below</t>
  </si>
  <si>
    <t>This report presents a snapshot of the Rams home attendance, win totals, and playoff appearances across the 2000-2019 NFL seasons. The chart below</t>
  </si>
  <si>
    <t>This report presents a snapshot of the 49ers home attendance, win totals, and playoff appearances across the 2000-2019 NFL seasons. The chart below</t>
  </si>
  <si>
    <t>Fan Engagement &amp; Performance Overview: Seattle Seahawks, 2000-2019</t>
  </si>
  <si>
    <t>Fan Engagement &amp; Performance Overview: STL. / LA Rams, 2000-2019</t>
  </si>
  <si>
    <t>Figure below illustrates the historical average fan attendence, wins, and playoff appearances per season and forecasts the attendence for the following season (21-23).</t>
  </si>
  <si>
    <t>Figure below illustrates the historical average fan attendence, wins, and playoff appearances per season and forecasts the attendence for the following season (23).</t>
  </si>
  <si>
    <t>Fan Engagement &amp; Performance Overview: San Francisco 49ers, 2000-2019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</si>
</sst>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mmm\-yy;@"/>
    <numFmt numFmtId="165" formatCode="#,##0.0"/>
  </numFmts>
  <fonts count="6" x14ac:knownFonts="1">
    <font>
      <sz val="11"/>
      <color theme="1"/>
      <name val="Calibri"/>
      <family val="2"/>
      <scheme val="minor"/>
    </font>
    <font>
      <sz val="11"/>
      <color rgb="FFFFFFFF"/>
      <name val="Consolas"/>
      <family val="3"/>
    </font>
    <font>
      <b/>
      <sz val="11"/>
      <color theme="1"/>
      <name val="Calibri"/>
      <family val="2"/>
      <scheme val="minor"/>
    </font>
    <font>
      <b/>
      <sz val="11"/>
      <color rgb="FF000000"/>
      <name val="Calibri"/>
      <family val="2"/>
      <scheme val="minor"/>
    </font>
    <font>
      <sz val="11"/>
      <color rgb="FF000000"/>
      <name val="Calibri"/>
      <family val="2"/>
      <scheme val="minor"/>
    </font>
    <font>
      <b/>
      <sz val="11"/>
      <color rgb="FF000000"/>
      <name val="Calibri"/>
      <family val="2"/>
    </font>
  </fonts>
  <fills count="4">
    <fill>
      <patternFill patternType="none"/>
    </fill>
    <fill>
      <patternFill patternType="gray125"/>
    </fill>
    <fill>
      <patternFill patternType="solid">
        <fgColor rgb="FFFFFF00"/>
        <bgColor indexed="64"/>
      </patternFill>
    </fill>
    <fill>
      <patternFill patternType="solid">
        <fgColor theme="0"/>
        <bgColor indexed="64"/>
      </patternFill>
    </fill>
  </fills>
  <borders count="4">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1">
    <xf numFmtId="0" fontId="0" fillId="0" borderId="0"/>
  </cellStyleXfs>
  <cellXfs count="19">
    <xf numFmtId="0" fontId="0" fillId="0" borderId="0" xfId="0"/>
    <xf numFmtId="0" fontId="0" fillId="2" borderId="0" xfId="0" applyFill="1" applyAlignment="1">
      <alignment horizontal="center"/>
    </xf>
    <xf numFmtId="0" fontId="1" fillId="0" borderId="0" xfId="0" applyFont="1"/>
    <xf numFmtId="164" fontId="0" fillId="3" borderId="0" xfId="0" applyNumberFormat="1" applyFill="1"/>
    <xf numFmtId="22" fontId="0" fillId="3" borderId="0" xfId="0" applyNumberFormat="1" applyFill="1"/>
    <xf numFmtId="0" fontId="0" fillId="3" borderId="0" xfId="0" applyFill="1"/>
    <xf numFmtId="2" fontId="3" fillId="0" borderId="0" xfId="0" applyNumberFormat="1" applyFont="1"/>
    <xf numFmtId="0" fontId="2" fillId="3" borderId="0" xfId="0" applyFont="1" applyFill="1"/>
    <xf numFmtId="0" fontId="0" fillId="3" borderId="1" xfId="0" applyFill="1" applyBorder="1"/>
    <xf numFmtId="0" fontId="0" fillId="0" borderId="3" xfId="0" applyBorder="1"/>
    <xf numFmtId="164" fontId="0" fillId="0" borderId="3" xfId="0" applyNumberFormat="1" applyBorder="1"/>
    <xf numFmtId="2" fontId="0" fillId="0" borderId="3" xfId="0" applyNumberFormat="1" applyBorder="1"/>
    <xf numFmtId="2" fontId="3" fillId="0" borderId="3" xfId="0" applyNumberFormat="1" applyFont="1" applyBorder="1"/>
    <xf numFmtId="2" fontId="0" fillId="0" borderId="2" xfId="0" applyNumberFormat="1" applyBorder="1"/>
    <xf numFmtId="165" fontId="0" fillId="0" borderId="2" xfId="0" applyNumberFormat="1" applyBorder="1"/>
    <xf numFmtId="3" fontId="4" fillId="0" borderId="2" xfId="0" applyNumberFormat="1" applyFont="1" applyBorder="1"/>
    <xf numFmtId="0" fontId="0" fillId="0" borderId="2" xfId="0" applyBorder="1"/>
    <xf numFmtId="3" fontId="4" fillId="0" borderId="0" xfId="0" applyNumberFormat="1" applyFont="1"/>
    <xf numFmtId="2"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2" Type="http://schemas.microsoft.com/office/2011/relationships/chartColorStyle" Target="colors75.xml"/><Relationship Id="rId1" Type="http://schemas.microsoft.com/office/2011/relationships/chartStyle" Target="style75.xml"/></Relationships>
</file>

<file path=xl/charts/_rels/chart76.xml.rels><?xml version="1.0" encoding="UTF-8" standalone="yes"?>
<Relationships xmlns="http://schemas.openxmlformats.org/package/2006/relationships"><Relationship Id="rId2" Type="http://schemas.microsoft.com/office/2011/relationships/chartColorStyle" Target="colors76.xml"/><Relationship Id="rId1" Type="http://schemas.microsoft.com/office/2011/relationships/chartStyle" Target="style76.xml"/></Relationships>
</file>

<file path=xl/charts/_rels/chart77.xml.rels><?xml version="1.0" encoding="UTF-8" standalone="yes"?>
<Relationships xmlns="http://schemas.openxmlformats.org/package/2006/relationships"><Relationship Id="rId2" Type="http://schemas.microsoft.com/office/2011/relationships/chartColorStyle" Target="colors77.xml"/><Relationship Id="rId1" Type="http://schemas.microsoft.com/office/2011/relationships/chartStyle" Target="style77.xml"/></Relationships>
</file>

<file path=xl/charts/_rels/chart78.xml.rels><?xml version="1.0" encoding="UTF-8" standalone="yes"?>
<Relationships xmlns="http://schemas.openxmlformats.org/package/2006/relationships"><Relationship Id="rId2" Type="http://schemas.microsoft.com/office/2011/relationships/chartColorStyle" Target="colors78.xml"/><Relationship Id="rId1" Type="http://schemas.microsoft.com/office/2011/relationships/chartStyle" Target="style78.xml"/></Relationships>
</file>

<file path=xl/charts/_rels/chart79.xml.rels><?xml version="1.0" encoding="UTF-8" standalone="yes"?>
<Relationships xmlns="http://schemas.openxmlformats.org/package/2006/relationships"><Relationship Id="rId2" Type="http://schemas.microsoft.com/office/2011/relationships/chartColorStyle" Target="colors79.xml"/><Relationship Id="rId1" Type="http://schemas.microsoft.com/office/2011/relationships/chartStyle" Target="style79.xml"/></Relationships>
</file>

<file path=xl/charts/_rels/chart80.xml.rels><?xml version="1.0" encoding="UTF-8" standalone="yes"?>
<Relationships xmlns="http://schemas.openxmlformats.org/package/2006/relationships"><Relationship Id="rId2" Type="http://schemas.microsoft.com/office/2011/relationships/chartColorStyle" Target="colors80.xml"/><Relationship Id="rId1" Type="http://schemas.microsoft.com/office/2011/relationships/chartStyle" Target="style80.xml"/></Relationships>
</file>

<file path=xl/charts/_rels/chart81.xml.rels><?xml version="1.0" encoding="UTF-8" standalone="yes"?>
<Relationships xmlns="http://schemas.openxmlformats.org/package/2006/relationships"><Relationship Id="rId2" Type="http://schemas.microsoft.com/office/2011/relationships/chartColorStyle" Target="colors81.xml"/><Relationship Id="rId1" Type="http://schemas.microsoft.com/office/2011/relationships/chartStyle" Target="style81.xml"/></Relationships>
</file>

<file path=xl/charts/_rels/chart82.xml.rels><?xml version="1.0" encoding="UTF-8" standalone="yes"?>
<Relationships xmlns="http://schemas.openxmlformats.org/package/2006/relationships"><Relationship Id="rId2" Type="http://schemas.microsoft.com/office/2011/relationships/chartColorStyle" Target="colors82.xml"/><Relationship Id="rId1" Type="http://schemas.microsoft.com/office/2011/relationships/chartStyle" Target="style82.xml"/></Relationships>
</file>

<file path=xl/charts/_rels/chart83.xml.rels><?xml version="1.0" encoding="UTF-8" standalone="yes"?>
<Relationships xmlns="http://schemas.openxmlformats.org/package/2006/relationships"><Relationship Id="rId2" Type="http://schemas.microsoft.com/office/2011/relationships/chartColorStyle" Target="colors83.xml"/><Relationship Id="rId1" Type="http://schemas.microsoft.com/office/2011/relationships/chartStyle" Target="style83.xml"/></Relationships>
</file>

<file path=xl/charts/_rels/chart84.xml.rels><?xml version="1.0" encoding="UTF-8" standalone="yes"?>
<Relationships xmlns="http://schemas.openxmlformats.org/package/2006/relationships"><Relationship Id="rId2" Type="http://schemas.microsoft.com/office/2011/relationships/chartColorStyle" Target="colors84.xml"/><Relationship Id="rId1" Type="http://schemas.microsoft.com/office/2011/relationships/chartStyle" Target="style8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2000 - 2001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'AZ Cardinals'!$D$1</c:f>
              <c:strCache>
                <c:ptCount val="1"/>
                <c:pt idx="0">
                  <c:v>week</c:v>
                </c:pt>
              </c:strCache>
            </c:strRef>
          </c:tx>
          <c:spPr>
            <a:ln w="28575" cap="rnd">
              <a:solidFill>
                <a:schemeClr val="accent1"/>
              </a:solidFill>
              <a:round/>
            </a:ln>
            <a:effectLst/>
          </c:spPr>
          <c:marker>
            <c:symbol val="none"/>
          </c:marker>
          <c:cat>
            <c:strLit>
              <c:ptCount val="8"/>
              <c:pt idx="0">
                <c:v>2</c:v>
              </c:pt>
              <c:pt idx="1">
                <c:v>4</c:v>
              </c:pt>
              <c:pt idx="2">
                <c:v>6</c:v>
              </c:pt>
              <c:pt idx="3">
                <c:v>7</c:v>
              </c:pt>
              <c:pt idx="4">
                <c:v>9</c:v>
              </c:pt>
              <c:pt idx="5">
                <c:v>10</c:v>
              </c:pt>
              <c:pt idx="6">
                <c:v>13</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'AZ Cardinals'!$D$2:$D$18</c15:sqref>
                  </c15:fullRef>
                </c:ext>
              </c:extLst>
              <c:f>('AZ Cardinals'!$D$3,'AZ Cardinals'!$D$5,'AZ Cardinals'!$D$7:$D$8,'AZ Cardinals'!$D$10:$D$11,'AZ Cardinals'!$D$14,'AZ Cardinals'!$D$17)</c:f>
              <c:numCache>
                <c:formatCode>General</c:formatCode>
                <c:ptCount val="8"/>
                <c:pt idx="0">
                  <c:v>2</c:v>
                </c:pt>
                <c:pt idx="1">
                  <c:v>4</c:v>
                </c:pt>
                <c:pt idx="2">
                  <c:v>6</c:v>
                </c:pt>
                <c:pt idx="3">
                  <c:v>7</c:v>
                </c:pt>
                <c:pt idx="4">
                  <c:v>9</c:v>
                </c:pt>
                <c:pt idx="5">
                  <c:v>10</c:v>
                </c:pt>
                <c:pt idx="6">
                  <c:v>13</c:v>
                </c:pt>
                <c:pt idx="7">
                  <c:v>16</c:v>
                </c:pt>
              </c:numCache>
            </c:numRef>
          </c:val>
          <c:smooth val="0"/>
          <c:extLst>
            <c:ext xmlns:c16="http://schemas.microsoft.com/office/drawing/2014/chart" uri="{C3380CC4-5D6E-409C-BE32-E72D297353CC}">
              <c16:uniqueId val="{00000000-6C5C-4741-8244-B7C9A6069C47}"/>
            </c:ext>
          </c:extLst>
        </c:ser>
        <c:ser>
          <c:idx val="1"/>
          <c:order val="1"/>
          <c:tx>
            <c:strRef>
              <c:f>'AZ Cardinals'!$E$1</c:f>
              <c:strCache>
                <c:ptCount val="1"/>
                <c:pt idx="0">
                  <c:v>weekly_attendance</c:v>
                </c:pt>
              </c:strCache>
            </c:strRef>
          </c:tx>
          <c:spPr>
            <a:ln w="28575" cap="rnd">
              <a:solidFill>
                <a:schemeClr val="accent2"/>
              </a:solidFill>
              <a:round/>
            </a:ln>
            <a:effectLst/>
          </c:spPr>
          <c:marker>
            <c:symbol val="none"/>
          </c:marker>
          <c:cat>
            <c:strLit>
              <c:ptCount val="8"/>
              <c:pt idx="0">
                <c:v>2</c:v>
              </c:pt>
              <c:pt idx="1">
                <c:v>4</c:v>
              </c:pt>
              <c:pt idx="2">
                <c:v>6</c:v>
              </c:pt>
              <c:pt idx="3">
                <c:v>7</c:v>
              </c:pt>
              <c:pt idx="4">
                <c:v>9</c:v>
              </c:pt>
              <c:pt idx="5">
                <c:v>10</c:v>
              </c:pt>
              <c:pt idx="6">
                <c:v>13</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'AZ Cardinals'!$E$2:$E$18</c15:sqref>
                  </c15:fullRef>
                </c:ext>
              </c:extLst>
              <c:f>('AZ Cardinals'!$E$3,'AZ Cardinals'!$E$5,'AZ Cardinals'!$E$7:$E$8,'AZ Cardinals'!$E$10:$E$11,'AZ Cardinals'!$E$14,'AZ Cardinals'!$E$17)</c:f>
              <c:numCache>
                <c:formatCode>General</c:formatCode>
                <c:ptCount val="8"/>
                <c:pt idx="0">
                  <c:v>66009</c:v>
                </c:pt>
                <c:pt idx="1">
                  <c:v>71801</c:v>
                </c:pt>
                <c:pt idx="2">
                  <c:v>44296</c:v>
                </c:pt>
                <c:pt idx="3">
                  <c:v>38293</c:v>
                </c:pt>
                <c:pt idx="4">
                  <c:v>35286</c:v>
                </c:pt>
                <c:pt idx="5">
                  <c:v>52244</c:v>
                </c:pt>
                <c:pt idx="6">
                  <c:v>42094</c:v>
                </c:pt>
                <c:pt idx="7">
                  <c:v>37452</c:v>
                </c:pt>
              </c:numCache>
            </c:numRef>
          </c:val>
          <c:smooth val="0"/>
          <c:extLst>
            <c:ext xmlns:c16="http://schemas.microsoft.com/office/drawing/2014/chart" uri="{C3380CC4-5D6E-409C-BE32-E72D297353CC}">
              <c16:uniqueId val="{00000001-6C5C-4741-8244-B7C9A6069C47}"/>
            </c:ext>
          </c:extLst>
        </c:ser>
        <c:dLbls>
          <c:showLegendKey val="0"/>
          <c:showVal val="0"/>
          <c:showCatName val="0"/>
          <c:showSerName val="0"/>
          <c:showPercent val="0"/>
          <c:showBubbleSize val="0"/>
        </c:dLbls>
        <c:smooth val="0"/>
        <c:axId val="1055903008"/>
        <c:axId val="1055903488"/>
      </c:lineChart>
      <c:catAx>
        <c:axId val="105590300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5903488"/>
        <c:crosses val="autoZero"/>
        <c:auto val="1"/>
        <c:lblAlgn val="ctr"/>
        <c:lblOffset val="100"/>
        <c:noMultiLvlLbl val="0"/>
      </c:catAx>
      <c:valAx>
        <c:axId val="1055903488"/>
        <c:scaling>
          <c:orientation val="minMax"/>
          <c:min val="34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5903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2001 - 2002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'AZ Cardinals'!$D$19</c:f>
              <c:strCache>
                <c:ptCount val="1"/>
                <c:pt idx="0">
                  <c:v>week</c:v>
                </c:pt>
              </c:strCache>
            </c:strRef>
          </c:tx>
          <c:spPr>
            <a:ln w="28575" cap="rnd">
              <a:solidFill>
                <a:schemeClr val="accent1"/>
              </a:solidFill>
              <a:round/>
            </a:ln>
            <a:effectLst/>
          </c:spPr>
          <c:marker>
            <c:symbol val="none"/>
          </c:marker>
          <c:cat>
            <c:strLit>
              <c:ptCount val="8"/>
              <c:pt idx="0">
                <c:v>2</c:v>
              </c:pt>
              <c:pt idx="1">
                <c:v>3</c:v>
              </c:pt>
              <c:pt idx="2">
                <c:v>6</c:v>
              </c:pt>
              <c:pt idx="3">
                <c:v>8</c:v>
              </c:pt>
              <c:pt idx="4">
                <c:v>9</c:v>
              </c:pt>
              <c:pt idx="5">
                <c:v>10</c:v>
              </c:pt>
              <c:pt idx="6">
                <c:v>13</c:v>
              </c:pt>
              <c:pt idx="7">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'AZ Cardinals'!$D$20:$D$36</c15:sqref>
                  </c15:fullRef>
                </c:ext>
              </c:extLst>
              <c:f>('AZ Cardinals'!$D$21:$D$22,'AZ Cardinals'!$D$25,'AZ Cardinals'!$D$27:$D$29,'AZ Cardinals'!$D$32,'AZ Cardinals'!$D$34)</c:f>
              <c:numCache>
                <c:formatCode>General</c:formatCode>
                <c:ptCount val="8"/>
                <c:pt idx="0">
                  <c:v>2</c:v>
                </c:pt>
                <c:pt idx="1">
                  <c:v>3</c:v>
                </c:pt>
                <c:pt idx="2">
                  <c:v>6</c:v>
                </c:pt>
                <c:pt idx="3">
                  <c:v>8</c:v>
                </c:pt>
                <c:pt idx="4">
                  <c:v>9</c:v>
                </c:pt>
                <c:pt idx="5">
                  <c:v>10</c:v>
                </c:pt>
                <c:pt idx="6">
                  <c:v>13</c:v>
                </c:pt>
                <c:pt idx="7">
                  <c:v>15</c:v>
                </c:pt>
              </c:numCache>
            </c:numRef>
          </c:val>
          <c:smooth val="0"/>
          <c:extLst>
            <c:ext xmlns:c16="http://schemas.microsoft.com/office/drawing/2014/chart" uri="{C3380CC4-5D6E-409C-BE32-E72D297353CC}">
              <c16:uniqueId val="{00000000-993A-4BB7-B1A1-E7E5F5AD70CB}"/>
            </c:ext>
          </c:extLst>
        </c:ser>
        <c:ser>
          <c:idx val="1"/>
          <c:order val="1"/>
          <c:tx>
            <c:strRef>
              <c:f>'AZ Cardinals'!$E$19</c:f>
              <c:strCache>
                <c:ptCount val="1"/>
                <c:pt idx="0">
                  <c:v>weekly_attendance</c:v>
                </c:pt>
              </c:strCache>
            </c:strRef>
          </c:tx>
          <c:spPr>
            <a:ln w="28575" cap="rnd">
              <a:solidFill>
                <a:schemeClr val="accent2"/>
              </a:solidFill>
              <a:round/>
            </a:ln>
            <a:effectLst/>
          </c:spPr>
          <c:marker>
            <c:symbol val="none"/>
          </c:marker>
          <c:cat>
            <c:strLit>
              <c:ptCount val="8"/>
              <c:pt idx="0">
                <c:v>2</c:v>
              </c:pt>
              <c:pt idx="1">
                <c:v>3</c:v>
              </c:pt>
              <c:pt idx="2">
                <c:v>6</c:v>
              </c:pt>
              <c:pt idx="3">
                <c:v>8</c:v>
              </c:pt>
              <c:pt idx="4">
                <c:v>9</c:v>
              </c:pt>
              <c:pt idx="5">
                <c:v>10</c:v>
              </c:pt>
              <c:pt idx="6">
                <c:v>13</c:v>
              </c:pt>
              <c:pt idx="7">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'AZ Cardinals'!$E$20:$E$36</c15:sqref>
                  </c15:fullRef>
                </c:ext>
              </c:extLst>
              <c:f>('AZ Cardinals'!$E$21:$E$22,'AZ Cardinals'!$E$25,'AZ Cardinals'!$E$27:$E$29,'AZ Cardinals'!$E$32,'AZ Cardinals'!$E$34)</c:f>
              <c:numCache>
                <c:formatCode>General</c:formatCode>
                <c:ptCount val="8"/>
                <c:pt idx="0">
                  <c:v>50913</c:v>
                </c:pt>
                <c:pt idx="1">
                  <c:v>28878</c:v>
                </c:pt>
                <c:pt idx="2">
                  <c:v>35916</c:v>
                </c:pt>
                <c:pt idx="3">
                  <c:v>33430</c:v>
                </c:pt>
                <c:pt idx="4">
                  <c:v>36917</c:v>
                </c:pt>
                <c:pt idx="5">
                  <c:v>32322</c:v>
                </c:pt>
                <c:pt idx="6">
                  <c:v>40056</c:v>
                </c:pt>
                <c:pt idx="7">
                  <c:v>48883</c:v>
                </c:pt>
              </c:numCache>
            </c:numRef>
          </c:val>
          <c:smooth val="0"/>
          <c:extLst>
            <c:ext xmlns:c16="http://schemas.microsoft.com/office/drawing/2014/chart" uri="{C3380CC4-5D6E-409C-BE32-E72D297353CC}">
              <c16:uniqueId val="{00000001-993A-4BB7-B1A1-E7E5F5AD70CB}"/>
            </c:ext>
          </c:extLst>
        </c:ser>
        <c:dLbls>
          <c:showLegendKey val="0"/>
          <c:showVal val="0"/>
          <c:showCatName val="0"/>
          <c:showSerName val="0"/>
          <c:showPercent val="0"/>
          <c:showBubbleSize val="0"/>
        </c:dLbls>
        <c:smooth val="0"/>
        <c:axId val="928411392"/>
        <c:axId val="928407072"/>
      </c:lineChart>
      <c:catAx>
        <c:axId val="92841139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407072"/>
        <c:crosses val="autoZero"/>
        <c:auto val="1"/>
        <c:lblAlgn val="ctr"/>
        <c:lblOffset val="100"/>
        <c:noMultiLvlLbl val="0"/>
      </c:catAx>
      <c:valAx>
        <c:axId val="928407072"/>
        <c:scaling>
          <c:orientation val="minMax"/>
          <c:min val="28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411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2002 - 2003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'AZ Cardinals'!$D$37</c:f>
              <c:strCache>
                <c:ptCount val="1"/>
                <c:pt idx="0">
                  <c:v>week</c:v>
                </c:pt>
              </c:strCache>
            </c:strRef>
          </c:tx>
          <c:spPr>
            <a:ln w="28575" cap="rnd">
              <a:solidFill>
                <a:schemeClr val="accent1"/>
              </a:solidFill>
              <a:round/>
            </a:ln>
            <a:effectLst/>
          </c:spPr>
          <c:marker>
            <c:symbol val="none"/>
          </c:marker>
          <c:cat>
            <c:strLit>
              <c:ptCount val="8"/>
              <c:pt idx="0">
                <c:v>3</c:v>
              </c:pt>
              <c:pt idx="1">
                <c:v>4</c:v>
              </c:pt>
              <c:pt idx="2">
                <c:v>7</c:v>
              </c:pt>
              <c:pt idx="3">
                <c:v>9</c:v>
              </c:pt>
              <c:pt idx="4">
                <c:v>10</c:v>
              </c:pt>
              <c:pt idx="5">
                <c:v>12</c:v>
              </c:pt>
              <c:pt idx="6">
                <c:v>14</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'AZ Cardinals'!$D$38:$D$54</c15:sqref>
                  </c15:fullRef>
                </c:ext>
              </c:extLst>
              <c:f>('AZ Cardinals'!$D$40:$D$41,'AZ Cardinals'!$D$44,'AZ Cardinals'!$D$46:$D$47,'AZ Cardinals'!$D$49,'AZ Cardinals'!$D$51,'AZ Cardinals'!$D$53)</c:f>
              <c:numCache>
                <c:formatCode>General</c:formatCode>
                <c:ptCount val="8"/>
                <c:pt idx="0">
                  <c:v>3</c:v>
                </c:pt>
                <c:pt idx="1">
                  <c:v>4</c:v>
                </c:pt>
                <c:pt idx="2">
                  <c:v>7</c:v>
                </c:pt>
                <c:pt idx="3">
                  <c:v>9</c:v>
                </c:pt>
                <c:pt idx="4">
                  <c:v>10</c:v>
                </c:pt>
                <c:pt idx="5">
                  <c:v>12</c:v>
                </c:pt>
                <c:pt idx="6">
                  <c:v>14</c:v>
                </c:pt>
                <c:pt idx="7">
                  <c:v>16</c:v>
                </c:pt>
              </c:numCache>
            </c:numRef>
          </c:val>
          <c:smooth val="0"/>
          <c:extLst>
            <c:ext xmlns:c16="http://schemas.microsoft.com/office/drawing/2014/chart" uri="{C3380CC4-5D6E-409C-BE32-E72D297353CC}">
              <c16:uniqueId val="{00000000-2E58-4A51-AC1F-8A9A3E526BA8}"/>
            </c:ext>
          </c:extLst>
        </c:ser>
        <c:ser>
          <c:idx val="1"/>
          <c:order val="1"/>
          <c:tx>
            <c:strRef>
              <c:f>'AZ Cardinals'!$E$37</c:f>
              <c:strCache>
                <c:ptCount val="1"/>
                <c:pt idx="0">
                  <c:v>weekly_attendance</c:v>
                </c:pt>
              </c:strCache>
            </c:strRef>
          </c:tx>
          <c:spPr>
            <a:ln w="28575" cap="rnd">
              <a:solidFill>
                <a:schemeClr val="accent2"/>
              </a:solidFill>
              <a:round/>
            </a:ln>
            <a:effectLst/>
          </c:spPr>
          <c:marker>
            <c:symbol val="none"/>
          </c:marker>
          <c:cat>
            <c:strLit>
              <c:ptCount val="8"/>
              <c:pt idx="0">
                <c:v>3</c:v>
              </c:pt>
              <c:pt idx="1">
                <c:v>4</c:v>
              </c:pt>
              <c:pt idx="2">
                <c:v>7</c:v>
              </c:pt>
              <c:pt idx="3">
                <c:v>9</c:v>
              </c:pt>
              <c:pt idx="4">
                <c:v>10</c:v>
              </c:pt>
              <c:pt idx="5">
                <c:v>12</c:v>
              </c:pt>
              <c:pt idx="6">
                <c:v>14</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'AZ Cardinals'!$E$38:$E$54</c15:sqref>
                  </c15:fullRef>
                </c:ext>
              </c:extLst>
              <c:f>('AZ Cardinals'!$E$40:$E$41,'AZ Cardinals'!$E$44,'AZ Cardinals'!$E$46:$E$47,'AZ Cardinals'!$E$49,'AZ Cardinals'!$E$51,'AZ Cardinals'!$E$53)</c:f>
              <c:numCache>
                <c:formatCode>General</c:formatCode>
                <c:ptCount val="8"/>
                <c:pt idx="0">
                  <c:v>28980</c:v>
                </c:pt>
                <c:pt idx="1">
                  <c:v>30014</c:v>
                </c:pt>
                <c:pt idx="2">
                  <c:v>59702</c:v>
                </c:pt>
                <c:pt idx="3">
                  <c:v>47819</c:v>
                </c:pt>
                <c:pt idx="4">
                  <c:v>29252</c:v>
                </c:pt>
                <c:pt idx="5">
                  <c:v>58814</c:v>
                </c:pt>
                <c:pt idx="6">
                  <c:v>28640</c:v>
                </c:pt>
                <c:pt idx="7">
                  <c:v>44051</c:v>
                </c:pt>
              </c:numCache>
            </c:numRef>
          </c:val>
          <c:smooth val="0"/>
          <c:extLst>
            <c:ext xmlns:c16="http://schemas.microsoft.com/office/drawing/2014/chart" uri="{C3380CC4-5D6E-409C-BE32-E72D297353CC}">
              <c16:uniqueId val="{00000001-2E58-4A51-AC1F-8A9A3E526BA8}"/>
            </c:ext>
          </c:extLst>
        </c:ser>
        <c:dLbls>
          <c:showLegendKey val="0"/>
          <c:showVal val="0"/>
          <c:showCatName val="0"/>
          <c:showSerName val="0"/>
          <c:showPercent val="0"/>
          <c:showBubbleSize val="0"/>
        </c:dLbls>
        <c:smooth val="0"/>
        <c:axId val="928433952"/>
        <c:axId val="928417632"/>
      </c:lineChart>
      <c:catAx>
        <c:axId val="92843395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417632"/>
        <c:crosses val="autoZero"/>
        <c:auto val="1"/>
        <c:lblAlgn val="ctr"/>
        <c:lblOffset val="100"/>
        <c:noMultiLvlLbl val="0"/>
      </c:catAx>
      <c:valAx>
        <c:axId val="928417632"/>
        <c:scaling>
          <c:orientation val="minMax"/>
          <c:min val="28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433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2003 - 2004</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'AZ Cardinals'!$D$55</c:f>
              <c:strCache>
                <c:ptCount val="1"/>
                <c:pt idx="0">
                  <c:v>week</c:v>
                </c:pt>
              </c:strCache>
            </c:strRef>
          </c:tx>
          <c:spPr>
            <a:ln w="28575" cap="rnd">
              <a:solidFill>
                <a:schemeClr val="accent1"/>
              </a:solidFill>
              <a:round/>
            </a:ln>
            <a:effectLst/>
          </c:spPr>
          <c:marker>
            <c:symbol val="none"/>
          </c:marker>
          <c:cat>
            <c:strLit>
              <c:ptCount val="8"/>
              <c:pt idx="0">
                <c:v>2</c:v>
              </c:pt>
              <c:pt idx="1">
                <c:v>3</c:v>
              </c:pt>
              <c:pt idx="2">
                <c:v>6</c:v>
              </c:pt>
              <c:pt idx="3">
                <c:v>8</c:v>
              </c:pt>
              <c:pt idx="4">
                <c:v>9</c:v>
              </c:pt>
              <c:pt idx="5">
                <c:v>12</c:v>
              </c:pt>
              <c:pt idx="6">
                <c:v>15</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'AZ Cardinals'!$D$56:$D$72</c15:sqref>
                  </c15:fullRef>
                </c:ext>
              </c:extLst>
              <c:f>('AZ Cardinals'!$D$57:$D$58,'AZ Cardinals'!$D$61,'AZ Cardinals'!$D$63:$D$64,'AZ Cardinals'!$D$67,'AZ Cardinals'!$D$70,'AZ Cardinals'!$D$72)</c:f>
              <c:numCache>
                <c:formatCode>General</c:formatCode>
                <c:ptCount val="8"/>
                <c:pt idx="0">
                  <c:v>2</c:v>
                </c:pt>
                <c:pt idx="1">
                  <c:v>3</c:v>
                </c:pt>
                <c:pt idx="2">
                  <c:v>6</c:v>
                </c:pt>
                <c:pt idx="3">
                  <c:v>8</c:v>
                </c:pt>
                <c:pt idx="4">
                  <c:v>9</c:v>
                </c:pt>
                <c:pt idx="5">
                  <c:v>12</c:v>
                </c:pt>
                <c:pt idx="6">
                  <c:v>15</c:v>
                </c:pt>
                <c:pt idx="7">
                  <c:v>17</c:v>
                </c:pt>
              </c:numCache>
            </c:numRef>
          </c:val>
          <c:smooth val="0"/>
          <c:extLst>
            <c:ext xmlns:c16="http://schemas.microsoft.com/office/drawing/2014/chart" uri="{C3380CC4-5D6E-409C-BE32-E72D297353CC}">
              <c16:uniqueId val="{00000000-AFD3-42A4-8BC9-583219E29F67}"/>
            </c:ext>
          </c:extLst>
        </c:ser>
        <c:ser>
          <c:idx val="1"/>
          <c:order val="1"/>
          <c:tx>
            <c:strRef>
              <c:f>'AZ Cardinals'!$E$55</c:f>
              <c:strCache>
                <c:ptCount val="1"/>
                <c:pt idx="0">
                  <c:v>weekly_attendance</c:v>
                </c:pt>
              </c:strCache>
            </c:strRef>
          </c:tx>
          <c:spPr>
            <a:ln w="28575" cap="rnd">
              <a:solidFill>
                <a:schemeClr val="accent2"/>
              </a:solidFill>
              <a:round/>
            </a:ln>
            <a:effectLst/>
          </c:spPr>
          <c:marker>
            <c:symbol val="none"/>
          </c:marker>
          <c:cat>
            <c:strLit>
              <c:ptCount val="8"/>
              <c:pt idx="0">
                <c:v>2</c:v>
              </c:pt>
              <c:pt idx="1">
                <c:v>3</c:v>
              </c:pt>
              <c:pt idx="2">
                <c:v>6</c:v>
              </c:pt>
              <c:pt idx="3">
                <c:v>8</c:v>
              </c:pt>
              <c:pt idx="4">
                <c:v>9</c:v>
              </c:pt>
              <c:pt idx="5">
                <c:v>12</c:v>
              </c:pt>
              <c:pt idx="6">
                <c:v>15</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'AZ Cardinals'!$E$56:$E$72</c15:sqref>
                  </c15:fullRef>
                </c:ext>
              </c:extLst>
              <c:f>('AZ Cardinals'!$E$57:$E$58,'AZ Cardinals'!$E$61,'AZ Cardinals'!$E$63:$E$64,'AZ Cardinals'!$E$67,'AZ Cardinals'!$E$70,'AZ Cardinals'!$E$72)</c:f>
              <c:numCache>
                <c:formatCode>General</c:formatCode>
                <c:ptCount val="8"/>
                <c:pt idx="0">
                  <c:v>23127</c:v>
                </c:pt>
                <c:pt idx="1">
                  <c:v>58784</c:v>
                </c:pt>
                <c:pt idx="2">
                  <c:v>24193</c:v>
                </c:pt>
                <c:pt idx="3">
                  <c:v>40824</c:v>
                </c:pt>
                <c:pt idx="4">
                  <c:v>23531</c:v>
                </c:pt>
                <c:pt idx="5">
                  <c:v>42089</c:v>
                </c:pt>
                <c:pt idx="6">
                  <c:v>23217</c:v>
                </c:pt>
                <c:pt idx="7">
                  <c:v>52734</c:v>
                </c:pt>
              </c:numCache>
            </c:numRef>
          </c:val>
          <c:smooth val="0"/>
          <c:extLst>
            <c:ext xmlns:c16="http://schemas.microsoft.com/office/drawing/2014/chart" uri="{C3380CC4-5D6E-409C-BE32-E72D297353CC}">
              <c16:uniqueId val="{00000001-AFD3-42A4-8BC9-583219E29F67}"/>
            </c:ext>
          </c:extLst>
        </c:ser>
        <c:dLbls>
          <c:showLegendKey val="0"/>
          <c:showVal val="0"/>
          <c:showCatName val="0"/>
          <c:showSerName val="0"/>
          <c:showPercent val="0"/>
          <c:showBubbleSize val="0"/>
        </c:dLbls>
        <c:smooth val="0"/>
        <c:axId val="928437312"/>
        <c:axId val="928443072"/>
      </c:lineChart>
      <c:catAx>
        <c:axId val="9284373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443072"/>
        <c:crosses val="autoZero"/>
        <c:auto val="1"/>
        <c:lblAlgn val="ctr"/>
        <c:lblOffset val="100"/>
        <c:noMultiLvlLbl val="0"/>
      </c:catAx>
      <c:valAx>
        <c:axId val="928443072"/>
        <c:scaling>
          <c:orientation val="minMax"/>
          <c:min val="20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437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2004 -2005</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'AZ Cardinals'!$D$73</c:f>
              <c:strCache>
                <c:ptCount val="1"/>
                <c:pt idx="0">
                  <c:v>week</c:v>
                </c:pt>
              </c:strCache>
            </c:strRef>
          </c:tx>
          <c:spPr>
            <a:ln w="28575" cap="rnd">
              <a:solidFill>
                <a:schemeClr val="accent1"/>
              </a:solidFill>
              <a:round/>
            </a:ln>
            <a:effectLst/>
          </c:spPr>
          <c:marker>
            <c:symbol val="none"/>
          </c:marker>
          <c:cat>
            <c:strLit>
              <c:ptCount val="8"/>
              <c:pt idx="0">
                <c:v>2</c:v>
              </c:pt>
              <c:pt idx="1">
                <c:v>4</c:v>
              </c:pt>
              <c:pt idx="2">
                <c:v>7</c:v>
              </c:pt>
              <c:pt idx="3">
                <c:v>10</c:v>
              </c:pt>
              <c:pt idx="4">
                <c:v>12</c:v>
              </c:pt>
              <c:pt idx="5">
                <c:v>14</c:v>
              </c:pt>
              <c:pt idx="6">
                <c:v>15</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'AZ Cardinals'!$D$74:$D$90</c15:sqref>
                  </c15:fullRef>
                </c:ext>
              </c:extLst>
              <c:f>('AZ Cardinals'!$D$75,'AZ Cardinals'!$D$77,'AZ Cardinals'!$D$80,'AZ Cardinals'!$D$83,'AZ Cardinals'!$D$85,'AZ Cardinals'!$D$87:$D$88,'AZ Cardinals'!$D$90)</c:f>
              <c:numCache>
                <c:formatCode>General</c:formatCode>
                <c:ptCount val="8"/>
                <c:pt idx="0">
                  <c:v>2</c:v>
                </c:pt>
                <c:pt idx="1">
                  <c:v>4</c:v>
                </c:pt>
                <c:pt idx="2">
                  <c:v>7</c:v>
                </c:pt>
                <c:pt idx="3">
                  <c:v>10</c:v>
                </c:pt>
                <c:pt idx="4">
                  <c:v>12</c:v>
                </c:pt>
                <c:pt idx="5">
                  <c:v>14</c:v>
                </c:pt>
                <c:pt idx="6">
                  <c:v>15</c:v>
                </c:pt>
                <c:pt idx="7">
                  <c:v>17</c:v>
                </c:pt>
              </c:numCache>
            </c:numRef>
          </c:val>
          <c:smooth val="0"/>
          <c:extLst>
            <c:ext xmlns:c16="http://schemas.microsoft.com/office/drawing/2014/chart" uri="{C3380CC4-5D6E-409C-BE32-E72D297353CC}">
              <c16:uniqueId val="{00000000-8DE2-4EED-909E-B638E2292C84}"/>
            </c:ext>
          </c:extLst>
        </c:ser>
        <c:ser>
          <c:idx val="1"/>
          <c:order val="1"/>
          <c:tx>
            <c:strRef>
              <c:f>'AZ Cardinals'!$E$73</c:f>
              <c:strCache>
                <c:ptCount val="1"/>
                <c:pt idx="0">
                  <c:v>weekly_attendance</c:v>
                </c:pt>
              </c:strCache>
            </c:strRef>
          </c:tx>
          <c:spPr>
            <a:ln w="28575" cap="rnd">
              <a:solidFill>
                <a:schemeClr val="accent2"/>
              </a:solidFill>
              <a:round/>
            </a:ln>
            <a:effectLst/>
          </c:spPr>
          <c:marker>
            <c:symbol val="none"/>
          </c:marker>
          <c:cat>
            <c:strLit>
              <c:ptCount val="8"/>
              <c:pt idx="0">
                <c:v>2</c:v>
              </c:pt>
              <c:pt idx="1">
                <c:v>4</c:v>
              </c:pt>
              <c:pt idx="2">
                <c:v>7</c:v>
              </c:pt>
              <c:pt idx="3">
                <c:v>10</c:v>
              </c:pt>
              <c:pt idx="4">
                <c:v>12</c:v>
              </c:pt>
              <c:pt idx="5">
                <c:v>14</c:v>
              </c:pt>
              <c:pt idx="6">
                <c:v>15</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'AZ Cardinals'!$E$74:$E$90</c15:sqref>
                  </c15:fullRef>
                </c:ext>
              </c:extLst>
              <c:f>('AZ Cardinals'!$E$75,'AZ Cardinals'!$E$77,'AZ Cardinals'!$E$80,'AZ Cardinals'!$E$83,'AZ Cardinals'!$E$85,'AZ Cardinals'!$E$87:$E$88,'AZ Cardinals'!$E$90)</c:f>
              <c:numCache>
                <c:formatCode>General</c:formatCode>
                <c:ptCount val="8"/>
                <c:pt idx="0">
                  <c:v>51557</c:v>
                </c:pt>
                <c:pt idx="1">
                  <c:v>28109</c:v>
                </c:pt>
                <c:pt idx="2">
                  <c:v>35695</c:v>
                </c:pt>
                <c:pt idx="3">
                  <c:v>42297</c:v>
                </c:pt>
                <c:pt idx="4">
                  <c:v>35820</c:v>
                </c:pt>
                <c:pt idx="5">
                  <c:v>35069</c:v>
                </c:pt>
                <c:pt idx="6">
                  <c:v>40070</c:v>
                </c:pt>
                <c:pt idx="7">
                  <c:v>31650</c:v>
                </c:pt>
              </c:numCache>
            </c:numRef>
          </c:val>
          <c:smooth val="0"/>
          <c:extLst>
            <c:ext xmlns:c16="http://schemas.microsoft.com/office/drawing/2014/chart" uri="{C3380CC4-5D6E-409C-BE32-E72D297353CC}">
              <c16:uniqueId val="{00000001-8DE2-4EED-909E-B638E2292C84}"/>
            </c:ext>
          </c:extLst>
        </c:ser>
        <c:dLbls>
          <c:showLegendKey val="0"/>
          <c:showVal val="0"/>
          <c:showCatName val="0"/>
          <c:showSerName val="0"/>
          <c:showPercent val="0"/>
          <c:showBubbleSize val="0"/>
        </c:dLbls>
        <c:smooth val="0"/>
        <c:axId val="928450272"/>
        <c:axId val="928451712"/>
      </c:lineChart>
      <c:catAx>
        <c:axId val="92845027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451712"/>
        <c:crosses val="autoZero"/>
        <c:auto val="1"/>
        <c:lblAlgn val="ctr"/>
        <c:lblOffset val="100"/>
        <c:noMultiLvlLbl val="0"/>
      </c:catAx>
      <c:valAx>
        <c:axId val="928451712"/>
        <c:scaling>
          <c:orientation val="minMax"/>
          <c:min val="27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450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2005 -</a:t>
            </a:r>
            <a:r>
              <a:rPr lang="en-US" baseline="0"/>
              <a:t> 2006</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'AZ Cardinals'!$D$91</c:f>
              <c:strCache>
                <c:ptCount val="1"/>
                <c:pt idx="0">
                  <c:v>week</c:v>
                </c:pt>
              </c:strCache>
            </c:strRef>
          </c:tx>
          <c:spPr>
            <a:ln w="28575" cap="rnd">
              <a:solidFill>
                <a:schemeClr val="accent1"/>
              </a:solidFill>
              <a:round/>
            </a:ln>
            <a:effectLst/>
          </c:spPr>
          <c:marker>
            <c:symbol val="none"/>
          </c:marker>
          <c:cat>
            <c:strLit>
              <c:ptCount val="8"/>
              <c:pt idx="0">
                <c:v>2</c:v>
              </c:pt>
              <c:pt idx="1">
                <c:v>4</c:v>
              </c:pt>
              <c:pt idx="2">
                <c:v>5</c:v>
              </c:pt>
              <c:pt idx="3">
                <c:v>7</c:v>
              </c:pt>
              <c:pt idx="4">
                <c:v>9</c:v>
              </c:pt>
              <c:pt idx="5">
                <c:v>12</c:v>
              </c:pt>
              <c:pt idx="6">
                <c:v>14</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'AZ Cardinals'!$D$92:$D$108</c15:sqref>
                  </c15:fullRef>
                </c:ext>
              </c:extLst>
              <c:f>('AZ Cardinals'!$D$93,'AZ Cardinals'!$D$95:$D$96,'AZ Cardinals'!$D$98,'AZ Cardinals'!$D$100,'AZ Cardinals'!$D$103,'AZ Cardinals'!$D$105,'AZ Cardinals'!$D$107)</c:f>
              <c:numCache>
                <c:formatCode>General</c:formatCode>
                <c:ptCount val="8"/>
                <c:pt idx="0">
                  <c:v>2</c:v>
                </c:pt>
                <c:pt idx="1">
                  <c:v>4</c:v>
                </c:pt>
                <c:pt idx="2">
                  <c:v>5</c:v>
                </c:pt>
                <c:pt idx="3">
                  <c:v>7</c:v>
                </c:pt>
                <c:pt idx="4">
                  <c:v>9</c:v>
                </c:pt>
                <c:pt idx="5">
                  <c:v>12</c:v>
                </c:pt>
                <c:pt idx="6">
                  <c:v>14</c:v>
                </c:pt>
                <c:pt idx="7">
                  <c:v>16</c:v>
                </c:pt>
              </c:numCache>
            </c:numRef>
          </c:val>
          <c:smooth val="0"/>
          <c:extLst>
            <c:ext xmlns:c16="http://schemas.microsoft.com/office/drawing/2014/chart" uri="{C3380CC4-5D6E-409C-BE32-E72D297353CC}">
              <c16:uniqueId val="{00000000-6C29-479E-BE4F-B8A698DAE983}"/>
            </c:ext>
          </c:extLst>
        </c:ser>
        <c:ser>
          <c:idx val="1"/>
          <c:order val="1"/>
          <c:tx>
            <c:strRef>
              <c:f>'AZ Cardinals'!$E$91</c:f>
              <c:strCache>
                <c:ptCount val="1"/>
                <c:pt idx="0">
                  <c:v>weekly_attendance</c:v>
                </c:pt>
              </c:strCache>
            </c:strRef>
          </c:tx>
          <c:spPr>
            <a:ln w="28575" cap="rnd">
              <a:solidFill>
                <a:schemeClr val="accent2"/>
              </a:solidFill>
              <a:round/>
            </a:ln>
            <a:effectLst/>
          </c:spPr>
          <c:marker>
            <c:symbol val="none"/>
          </c:marker>
          <c:cat>
            <c:strLit>
              <c:ptCount val="8"/>
              <c:pt idx="0">
                <c:v>2</c:v>
              </c:pt>
              <c:pt idx="1">
                <c:v>4</c:v>
              </c:pt>
              <c:pt idx="2">
                <c:v>5</c:v>
              </c:pt>
              <c:pt idx="3">
                <c:v>7</c:v>
              </c:pt>
              <c:pt idx="4">
                <c:v>9</c:v>
              </c:pt>
              <c:pt idx="5">
                <c:v>12</c:v>
              </c:pt>
              <c:pt idx="6">
                <c:v>14</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'AZ Cardinals'!$E$92:$E$108</c15:sqref>
                  </c15:fullRef>
                </c:ext>
              </c:extLst>
              <c:f>('AZ Cardinals'!$E$93,'AZ Cardinals'!$E$95:$E$96,'AZ Cardinals'!$E$98,'AZ Cardinals'!$E$100,'AZ Cardinals'!$E$103,'AZ Cardinals'!$E$105,'AZ Cardinals'!$E$107)</c:f>
              <c:numCache>
                <c:formatCode>General</c:formatCode>
                <c:ptCount val="8"/>
                <c:pt idx="0">
                  <c:v>45160</c:v>
                </c:pt>
                <c:pt idx="1">
                  <c:v>63467</c:v>
                </c:pt>
                <c:pt idx="2">
                  <c:v>38809</c:v>
                </c:pt>
                <c:pt idx="3">
                  <c:v>39482</c:v>
                </c:pt>
                <c:pt idx="4">
                  <c:v>43542</c:v>
                </c:pt>
                <c:pt idx="5">
                  <c:v>39198</c:v>
                </c:pt>
                <c:pt idx="6">
                  <c:v>46654</c:v>
                </c:pt>
                <c:pt idx="7">
                  <c:v>44723</c:v>
                </c:pt>
              </c:numCache>
            </c:numRef>
          </c:val>
          <c:smooth val="0"/>
          <c:extLst>
            <c:ext xmlns:c16="http://schemas.microsoft.com/office/drawing/2014/chart" uri="{C3380CC4-5D6E-409C-BE32-E72D297353CC}">
              <c16:uniqueId val="{00000001-6C29-479E-BE4F-B8A698DAE983}"/>
            </c:ext>
          </c:extLst>
        </c:ser>
        <c:dLbls>
          <c:showLegendKey val="0"/>
          <c:showVal val="0"/>
          <c:showCatName val="0"/>
          <c:showSerName val="0"/>
          <c:showPercent val="0"/>
          <c:showBubbleSize val="0"/>
        </c:dLbls>
        <c:smooth val="0"/>
        <c:axId val="928474752"/>
        <c:axId val="928475232"/>
      </c:lineChart>
      <c:catAx>
        <c:axId val="92847475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475232"/>
        <c:crosses val="autoZero"/>
        <c:auto val="1"/>
        <c:lblAlgn val="ctr"/>
        <c:lblOffset val="100"/>
        <c:noMultiLvlLbl val="0"/>
      </c:catAx>
      <c:valAx>
        <c:axId val="928475232"/>
        <c:scaling>
          <c:orientation val="minMax"/>
          <c:min val="37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474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2006 - 2007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'AZ Cardinals'!$D$109</c:f>
              <c:strCache>
                <c:ptCount val="1"/>
                <c:pt idx="0">
                  <c:v>week</c:v>
                </c:pt>
              </c:strCache>
            </c:strRef>
          </c:tx>
          <c:spPr>
            <a:ln w="28575" cap="rnd">
              <a:solidFill>
                <a:schemeClr val="accent1"/>
              </a:solidFill>
              <a:round/>
            </a:ln>
            <a:effectLst/>
          </c:spPr>
          <c:marker>
            <c:symbol val="none"/>
          </c:marker>
          <c:cat>
            <c:strLit>
              <c:ptCount val="8"/>
              <c:pt idx="0">
                <c:v>1</c:v>
              </c:pt>
              <c:pt idx="1">
                <c:v>3</c:v>
              </c:pt>
              <c:pt idx="2">
                <c:v>5</c:v>
              </c:pt>
              <c:pt idx="3">
                <c:v>6</c:v>
              </c:pt>
              <c:pt idx="4">
                <c:v>10</c:v>
              </c:pt>
              <c:pt idx="5">
                <c:v>11</c:v>
              </c:pt>
              <c:pt idx="6">
                <c:v>14</c:v>
              </c:pt>
              <c:pt idx="7">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'AZ Cardinals'!$D$110:$D$126</c15:sqref>
                  </c15:fullRef>
                </c:ext>
              </c:extLst>
              <c:f>('AZ Cardinals'!$D$110,'AZ Cardinals'!$D$112,'AZ Cardinals'!$D$114:$D$115,'AZ Cardinals'!$D$119:$D$120,'AZ Cardinals'!$D$123:$D$124)</c:f>
              <c:numCache>
                <c:formatCode>General</c:formatCode>
                <c:ptCount val="8"/>
                <c:pt idx="0">
                  <c:v>1</c:v>
                </c:pt>
                <c:pt idx="1">
                  <c:v>3</c:v>
                </c:pt>
                <c:pt idx="2">
                  <c:v>5</c:v>
                </c:pt>
                <c:pt idx="3">
                  <c:v>6</c:v>
                </c:pt>
                <c:pt idx="4">
                  <c:v>10</c:v>
                </c:pt>
                <c:pt idx="5">
                  <c:v>11</c:v>
                </c:pt>
                <c:pt idx="6">
                  <c:v>14</c:v>
                </c:pt>
                <c:pt idx="7">
                  <c:v>15</c:v>
                </c:pt>
              </c:numCache>
            </c:numRef>
          </c:val>
          <c:smooth val="0"/>
          <c:extLst>
            <c:ext xmlns:c16="http://schemas.microsoft.com/office/drawing/2014/chart" uri="{C3380CC4-5D6E-409C-BE32-E72D297353CC}">
              <c16:uniqueId val="{00000000-1BED-442C-BD59-C3507F23C2E1}"/>
            </c:ext>
          </c:extLst>
        </c:ser>
        <c:ser>
          <c:idx val="1"/>
          <c:order val="1"/>
          <c:tx>
            <c:strRef>
              <c:f>'AZ Cardinals'!$E$109</c:f>
              <c:strCache>
                <c:ptCount val="1"/>
                <c:pt idx="0">
                  <c:v>weekly_attendance</c:v>
                </c:pt>
              </c:strCache>
            </c:strRef>
          </c:tx>
          <c:spPr>
            <a:ln w="28575" cap="rnd">
              <a:solidFill>
                <a:schemeClr val="accent2"/>
              </a:solidFill>
              <a:round/>
            </a:ln>
            <a:effectLst/>
          </c:spPr>
          <c:marker>
            <c:symbol val="none"/>
          </c:marker>
          <c:cat>
            <c:strLit>
              <c:ptCount val="8"/>
              <c:pt idx="0">
                <c:v>1</c:v>
              </c:pt>
              <c:pt idx="1">
                <c:v>3</c:v>
              </c:pt>
              <c:pt idx="2">
                <c:v>5</c:v>
              </c:pt>
              <c:pt idx="3">
                <c:v>6</c:v>
              </c:pt>
              <c:pt idx="4">
                <c:v>10</c:v>
              </c:pt>
              <c:pt idx="5">
                <c:v>11</c:v>
              </c:pt>
              <c:pt idx="6">
                <c:v>14</c:v>
              </c:pt>
              <c:pt idx="7">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'AZ Cardinals'!$E$110:$E$126</c15:sqref>
                  </c15:fullRef>
                </c:ext>
              </c:extLst>
              <c:f>('AZ Cardinals'!$E$110,'AZ Cardinals'!$E$112,'AZ Cardinals'!$E$114:$E$115,'AZ Cardinals'!$E$119:$E$120,'AZ Cardinals'!$E$123:$E$124)</c:f>
              <c:numCache>
                <c:formatCode>General</c:formatCode>
                <c:ptCount val="8"/>
                <c:pt idx="0">
                  <c:v>63407</c:v>
                </c:pt>
                <c:pt idx="1">
                  <c:v>63278</c:v>
                </c:pt>
                <c:pt idx="2">
                  <c:v>63445</c:v>
                </c:pt>
                <c:pt idx="3">
                  <c:v>63977</c:v>
                </c:pt>
                <c:pt idx="4">
                  <c:v>63926</c:v>
                </c:pt>
                <c:pt idx="5">
                  <c:v>63348</c:v>
                </c:pt>
                <c:pt idx="6">
                  <c:v>63603</c:v>
                </c:pt>
                <c:pt idx="7">
                  <c:v>63845</c:v>
                </c:pt>
              </c:numCache>
            </c:numRef>
          </c:val>
          <c:smooth val="0"/>
          <c:extLst>
            <c:ext xmlns:c16="http://schemas.microsoft.com/office/drawing/2014/chart" uri="{C3380CC4-5D6E-409C-BE32-E72D297353CC}">
              <c16:uniqueId val="{00000001-1BED-442C-BD59-C3507F23C2E1}"/>
            </c:ext>
          </c:extLst>
        </c:ser>
        <c:dLbls>
          <c:showLegendKey val="0"/>
          <c:showVal val="0"/>
          <c:showCatName val="0"/>
          <c:showSerName val="0"/>
          <c:showPercent val="0"/>
          <c:showBubbleSize val="0"/>
        </c:dLbls>
        <c:smooth val="0"/>
        <c:axId val="928447872"/>
        <c:axId val="928455552"/>
      </c:lineChart>
      <c:catAx>
        <c:axId val="92844787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455552"/>
        <c:crosses val="autoZero"/>
        <c:auto val="1"/>
        <c:lblAlgn val="ctr"/>
        <c:lblOffset val="100"/>
        <c:noMultiLvlLbl val="0"/>
      </c:catAx>
      <c:valAx>
        <c:axId val="928455552"/>
        <c:scaling>
          <c:orientation val="minMax"/>
          <c:max val="66000"/>
          <c:min val="62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447872"/>
        <c:crosses val="autoZero"/>
        <c:crossBetween val="between"/>
        <c:maj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2007 - 2008</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'AZ Cardinals'!$D$127</c:f>
              <c:strCache>
                <c:ptCount val="1"/>
                <c:pt idx="0">
                  <c:v>week</c:v>
                </c:pt>
              </c:strCache>
            </c:strRef>
          </c:tx>
          <c:spPr>
            <a:ln w="28575" cap="rnd">
              <a:solidFill>
                <a:schemeClr val="accent1"/>
              </a:solidFill>
              <a:round/>
            </a:ln>
            <a:effectLst/>
          </c:spPr>
          <c:marker>
            <c:symbol val="none"/>
          </c:marker>
          <c:cat>
            <c:strLit>
              <c:ptCount val="8"/>
              <c:pt idx="0">
                <c:v>2</c:v>
              </c:pt>
              <c:pt idx="1">
                <c:v>4</c:v>
              </c:pt>
              <c:pt idx="2">
                <c:v>6</c:v>
              </c:pt>
              <c:pt idx="3">
                <c:v>10</c:v>
              </c:pt>
              <c:pt idx="4">
                <c:v>12</c:v>
              </c:pt>
              <c:pt idx="5">
                <c:v>13</c:v>
              </c:pt>
              <c:pt idx="6">
                <c:v>16</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'AZ Cardinals'!$D$128:$D$144</c15:sqref>
                  </c15:fullRef>
                </c:ext>
              </c:extLst>
              <c:f>('AZ Cardinals'!$D$129,'AZ Cardinals'!$D$131,'AZ Cardinals'!$D$133,'AZ Cardinals'!$D$137,'AZ Cardinals'!$D$139:$D$140,'AZ Cardinals'!$D$143:$D$144)</c:f>
              <c:numCache>
                <c:formatCode>General</c:formatCode>
                <c:ptCount val="8"/>
                <c:pt idx="0">
                  <c:v>2</c:v>
                </c:pt>
                <c:pt idx="1">
                  <c:v>4</c:v>
                </c:pt>
                <c:pt idx="2">
                  <c:v>6</c:v>
                </c:pt>
                <c:pt idx="3">
                  <c:v>10</c:v>
                </c:pt>
                <c:pt idx="4">
                  <c:v>12</c:v>
                </c:pt>
                <c:pt idx="5">
                  <c:v>13</c:v>
                </c:pt>
                <c:pt idx="6">
                  <c:v>16</c:v>
                </c:pt>
                <c:pt idx="7">
                  <c:v>17</c:v>
                </c:pt>
              </c:numCache>
            </c:numRef>
          </c:val>
          <c:smooth val="0"/>
          <c:extLst>
            <c:ext xmlns:c16="http://schemas.microsoft.com/office/drawing/2014/chart" uri="{C3380CC4-5D6E-409C-BE32-E72D297353CC}">
              <c16:uniqueId val="{00000000-0407-41D6-BAB6-9E734154C8B8}"/>
            </c:ext>
          </c:extLst>
        </c:ser>
        <c:ser>
          <c:idx val="1"/>
          <c:order val="1"/>
          <c:tx>
            <c:strRef>
              <c:f>'AZ Cardinals'!$E$127</c:f>
              <c:strCache>
                <c:ptCount val="1"/>
                <c:pt idx="0">
                  <c:v>weekly_attendance</c:v>
                </c:pt>
              </c:strCache>
            </c:strRef>
          </c:tx>
          <c:spPr>
            <a:ln w="28575" cap="rnd">
              <a:solidFill>
                <a:schemeClr val="accent2"/>
              </a:solidFill>
              <a:round/>
            </a:ln>
            <a:effectLst/>
          </c:spPr>
          <c:marker>
            <c:symbol val="none"/>
          </c:marker>
          <c:cat>
            <c:strLit>
              <c:ptCount val="8"/>
              <c:pt idx="0">
                <c:v>2</c:v>
              </c:pt>
              <c:pt idx="1">
                <c:v>4</c:v>
              </c:pt>
              <c:pt idx="2">
                <c:v>6</c:v>
              </c:pt>
              <c:pt idx="3">
                <c:v>10</c:v>
              </c:pt>
              <c:pt idx="4">
                <c:v>12</c:v>
              </c:pt>
              <c:pt idx="5">
                <c:v>13</c:v>
              </c:pt>
              <c:pt idx="6">
                <c:v>16</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'AZ Cardinals'!$E$128:$E$144</c15:sqref>
                  </c15:fullRef>
                </c:ext>
              </c:extLst>
              <c:f>('AZ Cardinals'!$E$129,'AZ Cardinals'!$E$131,'AZ Cardinals'!$E$133,'AZ Cardinals'!$E$137,'AZ Cardinals'!$E$139:$E$140,'AZ Cardinals'!$E$143:$E$144)</c:f>
              <c:numCache>
                <c:formatCode>General</c:formatCode>
                <c:ptCount val="8"/>
                <c:pt idx="0">
                  <c:v>64542</c:v>
                </c:pt>
                <c:pt idx="1">
                  <c:v>64844</c:v>
                </c:pt>
                <c:pt idx="2">
                  <c:v>64403</c:v>
                </c:pt>
                <c:pt idx="3">
                  <c:v>64753</c:v>
                </c:pt>
                <c:pt idx="4">
                  <c:v>64483</c:v>
                </c:pt>
                <c:pt idx="5">
                  <c:v>64791</c:v>
                </c:pt>
                <c:pt idx="6">
                  <c:v>64159</c:v>
                </c:pt>
                <c:pt idx="7">
                  <c:v>64671</c:v>
                </c:pt>
              </c:numCache>
            </c:numRef>
          </c:val>
          <c:smooth val="0"/>
          <c:extLst>
            <c:ext xmlns:c16="http://schemas.microsoft.com/office/drawing/2014/chart" uri="{C3380CC4-5D6E-409C-BE32-E72D297353CC}">
              <c16:uniqueId val="{00000001-0407-41D6-BAB6-9E734154C8B8}"/>
            </c:ext>
          </c:extLst>
        </c:ser>
        <c:dLbls>
          <c:showLegendKey val="0"/>
          <c:showVal val="0"/>
          <c:showCatName val="0"/>
          <c:showSerName val="0"/>
          <c:showPercent val="0"/>
          <c:showBubbleSize val="0"/>
        </c:dLbls>
        <c:smooth val="0"/>
        <c:axId val="928460352"/>
        <c:axId val="928460832"/>
      </c:lineChart>
      <c:catAx>
        <c:axId val="92846035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460832"/>
        <c:crosses val="autoZero"/>
        <c:auto val="1"/>
        <c:lblAlgn val="ctr"/>
        <c:lblOffset val="100"/>
        <c:noMultiLvlLbl val="0"/>
      </c:catAx>
      <c:valAx>
        <c:axId val="928460832"/>
        <c:scaling>
          <c:orientation val="minMax"/>
          <c:max val="66000"/>
          <c:min val="62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460352"/>
        <c:crosses val="autoZero"/>
        <c:crossBetween val="between"/>
        <c:maj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2008 - 2009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'AZ Cardinals'!$D$145</c:f>
              <c:strCache>
                <c:ptCount val="1"/>
                <c:pt idx="0">
                  <c:v>week</c:v>
                </c:pt>
              </c:strCache>
            </c:strRef>
          </c:tx>
          <c:spPr>
            <a:ln w="28575" cap="rnd">
              <a:solidFill>
                <a:schemeClr val="accent1"/>
              </a:solidFill>
              <a:round/>
            </a:ln>
            <a:effectLst/>
          </c:spPr>
          <c:marker>
            <c:symbol val="none"/>
          </c:marker>
          <c:cat>
            <c:strLit>
              <c:ptCount val="8"/>
              <c:pt idx="0">
                <c:v>2</c:v>
              </c:pt>
              <c:pt idx="1">
                <c:v>5</c:v>
              </c:pt>
              <c:pt idx="2">
                <c:v>6</c:v>
              </c:pt>
              <c:pt idx="3">
                <c:v>10</c:v>
              </c:pt>
              <c:pt idx="4">
                <c:v>12</c:v>
              </c:pt>
              <c:pt idx="5">
                <c:v>14</c:v>
              </c:pt>
              <c:pt idx="6">
                <c:v>15</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'AZ Cardinals'!$D$146:$D$162</c15:sqref>
                  </c15:fullRef>
                </c:ext>
              </c:extLst>
              <c:f>('AZ Cardinals'!$D$147,'AZ Cardinals'!$D$150:$D$151,'AZ Cardinals'!$D$155,'AZ Cardinals'!$D$157,'AZ Cardinals'!$D$159:$D$160,'AZ Cardinals'!$D$162)</c:f>
              <c:numCache>
                <c:formatCode>General</c:formatCode>
                <c:ptCount val="8"/>
                <c:pt idx="0">
                  <c:v>2</c:v>
                </c:pt>
                <c:pt idx="1">
                  <c:v>5</c:v>
                </c:pt>
                <c:pt idx="2">
                  <c:v>6</c:v>
                </c:pt>
                <c:pt idx="3">
                  <c:v>10</c:v>
                </c:pt>
                <c:pt idx="4">
                  <c:v>12</c:v>
                </c:pt>
                <c:pt idx="5">
                  <c:v>14</c:v>
                </c:pt>
                <c:pt idx="6">
                  <c:v>15</c:v>
                </c:pt>
                <c:pt idx="7">
                  <c:v>17</c:v>
                </c:pt>
              </c:numCache>
            </c:numRef>
          </c:val>
          <c:smooth val="0"/>
          <c:extLst>
            <c:ext xmlns:c16="http://schemas.microsoft.com/office/drawing/2014/chart" uri="{C3380CC4-5D6E-409C-BE32-E72D297353CC}">
              <c16:uniqueId val="{00000000-DA18-49AC-BB2E-E1730AA528B0}"/>
            </c:ext>
          </c:extLst>
        </c:ser>
        <c:ser>
          <c:idx val="1"/>
          <c:order val="1"/>
          <c:tx>
            <c:strRef>
              <c:f>'AZ Cardinals'!$E$145</c:f>
              <c:strCache>
                <c:ptCount val="1"/>
                <c:pt idx="0">
                  <c:v>weekly_attendance</c:v>
                </c:pt>
              </c:strCache>
            </c:strRef>
          </c:tx>
          <c:spPr>
            <a:ln w="28575" cap="rnd">
              <a:solidFill>
                <a:schemeClr val="accent2"/>
              </a:solidFill>
              <a:round/>
            </a:ln>
            <a:effectLst/>
          </c:spPr>
          <c:marker>
            <c:symbol val="none"/>
          </c:marker>
          <c:cat>
            <c:strLit>
              <c:ptCount val="8"/>
              <c:pt idx="0">
                <c:v>2</c:v>
              </c:pt>
              <c:pt idx="1">
                <c:v>5</c:v>
              </c:pt>
              <c:pt idx="2">
                <c:v>6</c:v>
              </c:pt>
              <c:pt idx="3">
                <c:v>10</c:v>
              </c:pt>
              <c:pt idx="4">
                <c:v>12</c:v>
              </c:pt>
              <c:pt idx="5">
                <c:v>14</c:v>
              </c:pt>
              <c:pt idx="6">
                <c:v>15</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'AZ Cardinals'!$E$146:$E$162</c15:sqref>
                  </c15:fullRef>
                </c:ext>
              </c:extLst>
              <c:f>('AZ Cardinals'!$E$147,'AZ Cardinals'!$E$150:$E$151,'AZ Cardinals'!$E$155,'AZ Cardinals'!$E$157,'AZ Cardinals'!$E$159:$E$160,'AZ Cardinals'!$E$162)</c:f>
              <c:numCache>
                <c:formatCode>General</c:formatCode>
                <c:ptCount val="8"/>
                <c:pt idx="0">
                  <c:v>63445</c:v>
                </c:pt>
                <c:pt idx="1">
                  <c:v>63830</c:v>
                </c:pt>
                <c:pt idx="2">
                  <c:v>64389</c:v>
                </c:pt>
                <c:pt idx="3">
                  <c:v>64519</c:v>
                </c:pt>
                <c:pt idx="4">
                  <c:v>64541</c:v>
                </c:pt>
                <c:pt idx="5">
                  <c:v>63720</c:v>
                </c:pt>
                <c:pt idx="6">
                  <c:v>64457</c:v>
                </c:pt>
                <c:pt idx="7">
                  <c:v>63874</c:v>
                </c:pt>
              </c:numCache>
            </c:numRef>
          </c:val>
          <c:smooth val="0"/>
          <c:extLst>
            <c:ext xmlns:c16="http://schemas.microsoft.com/office/drawing/2014/chart" uri="{C3380CC4-5D6E-409C-BE32-E72D297353CC}">
              <c16:uniqueId val="{00000001-DA18-49AC-BB2E-E1730AA528B0}"/>
            </c:ext>
          </c:extLst>
        </c:ser>
        <c:dLbls>
          <c:showLegendKey val="0"/>
          <c:showVal val="0"/>
          <c:showCatName val="0"/>
          <c:showSerName val="0"/>
          <c:showPercent val="0"/>
          <c:showBubbleSize val="0"/>
        </c:dLbls>
        <c:smooth val="0"/>
        <c:axId val="928474272"/>
        <c:axId val="928470912"/>
      </c:lineChart>
      <c:catAx>
        <c:axId val="92847427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470912"/>
        <c:crosses val="autoZero"/>
        <c:auto val="1"/>
        <c:lblAlgn val="ctr"/>
        <c:lblOffset val="100"/>
        <c:noMultiLvlLbl val="0"/>
      </c:catAx>
      <c:valAx>
        <c:axId val="928470912"/>
        <c:scaling>
          <c:orientation val="minMax"/>
          <c:max val="66000"/>
          <c:min val="62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474272"/>
        <c:crosses val="autoZero"/>
        <c:crossBetween val="between"/>
        <c:maj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2009 - 2010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'AZ Cardinals'!$D$163</c:f>
              <c:strCache>
                <c:ptCount val="1"/>
                <c:pt idx="0">
                  <c:v>week</c:v>
                </c:pt>
              </c:strCache>
            </c:strRef>
          </c:tx>
          <c:spPr>
            <a:ln w="28575" cap="rnd">
              <a:solidFill>
                <a:schemeClr val="accent1"/>
              </a:solidFill>
              <a:round/>
            </a:ln>
            <a:effectLst/>
          </c:spPr>
          <c:marker>
            <c:symbol val="none"/>
          </c:marker>
          <c:cat>
            <c:strLit>
              <c:ptCount val="8"/>
              <c:pt idx="0">
                <c:v>1</c:v>
              </c:pt>
              <c:pt idx="1">
                <c:v>3</c:v>
              </c:pt>
              <c:pt idx="2">
                <c:v>5</c:v>
              </c:pt>
              <c:pt idx="3">
                <c:v>8</c:v>
              </c:pt>
              <c:pt idx="4">
                <c:v>10</c:v>
              </c:pt>
              <c:pt idx="5">
                <c:v>13</c:v>
              </c:pt>
              <c:pt idx="6">
                <c:v>16</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'AZ Cardinals'!$D$164:$D$180</c15:sqref>
                  </c15:fullRef>
                </c:ext>
              </c:extLst>
              <c:f>('AZ Cardinals'!$D$164,'AZ Cardinals'!$D$166,'AZ Cardinals'!$D$168,'AZ Cardinals'!$D$171,'AZ Cardinals'!$D$173,'AZ Cardinals'!$D$176,'AZ Cardinals'!$D$179:$D$180)</c:f>
              <c:numCache>
                <c:formatCode>General</c:formatCode>
                <c:ptCount val="8"/>
                <c:pt idx="0">
                  <c:v>1</c:v>
                </c:pt>
                <c:pt idx="1">
                  <c:v>3</c:v>
                </c:pt>
                <c:pt idx="2">
                  <c:v>5</c:v>
                </c:pt>
                <c:pt idx="3">
                  <c:v>8</c:v>
                </c:pt>
                <c:pt idx="4">
                  <c:v>10</c:v>
                </c:pt>
                <c:pt idx="5">
                  <c:v>13</c:v>
                </c:pt>
                <c:pt idx="6">
                  <c:v>16</c:v>
                </c:pt>
                <c:pt idx="7">
                  <c:v>17</c:v>
                </c:pt>
              </c:numCache>
            </c:numRef>
          </c:val>
          <c:smooth val="0"/>
          <c:extLst>
            <c:ext xmlns:c16="http://schemas.microsoft.com/office/drawing/2014/chart" uri="{C3380CC4-5D6E-409C-BE32-E72D297353CC}">
              <c16:uniqueId val="{00000000-C00F-4EE5-A32F-F0FE7DABD831}"/>
            </c:ext>
          </c:extLst>
        </c:ser>
        <c:ser>
          <c:idx val="1"/>
          <c:order val="1"/>
          <c:tx>
            <c:strRef>
              <c:f>'AZ Cardinals'!$E$163</c:f>
              <c:strCache>
                <c:ptCount val="1"/>
                <c:pt idx="0">
                  <c:v>weekly_attendance</c:v>
                </c:pt>
              </c:strCache>
            </c:strRef>
          </c:tx>
          <c:spPr>
            <a:ln w="28575" cap="rnd">
              <a:solidFill>
                <a:schemeClr val="accent2"/>
              </a:solidFill>
              <a:round/>
            </a:ln>
            <a:effectLst/>
          </c:spPr>
          <c:marker>
            <c:symbol val="none"/>
          </c:marker>
          <c:cat>
            <c:strLit>
              <c:ptCount val="8"/>
              <c:pt idx="0">
                <c:v>1</c:v>
              </c:pt>
              <c:pt idx="1">
                <c:v>3</c:v>
              </c:pt>
              <c:pt idx="2">
                <c:v>5</c:v>
              </c:pt>
              <c:pt idx="3">
                <c:v>8</c:v>
              </c:pt>
              <c:pt idx="4">
                <c:v>10</c:v>
              </c:pt>
              <c:pt idx="5">
                <c:v>13</c:v>
              </c:pt>
              <c:pt idx="6">
                <c:v>16</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'AZ Cardinals'!$E$164:$E$180</c15:sqref>
                  </c15:fullRef>
                </c:ext>
              </c:extLst>
              <c:f>('AZ Cardinals'!$E$164,'AZ Cardinals'!$E$166,'AZ Cardinals'!$E$168,'AZ Cardinals'!$E$171,'AZ Cardinals'!$E$173,'AZ Cardinals'!$E$176,'AZ Cardinals'!$E$179:$E$180)</c:f>
              <c:numCache>
                <c:formatCode>General</c:formatCode>
                <c:ptCount val="8"/>
                <c:pt idx="0">
                  <c:v>61981</c:v>
                </c:pt>
                <c:pt idx="1">
                  <c:v>62692</c:v>
                </c:pt>
                <c:pt idx="2">
                  <c:v>61819</c:v>
                </c:pt>
                <c:pt idx="3">
                  <c:v>62031</c:v>
                </c:pt>
                <c:pt idx="4">
                  <c:v>62278</c:v>
                </c:pt>
                <c:pt idx="5">
                  <c:v>64121</c:v>
                </c:pt>
                <c:pt idx="6">
                  <c:v>62624</c:v>
                </c:pt>
                <c:pt idx="7">
                  <c:v>67597</c:v>
                </c:pt>
              </c:numCache>
            </c:numRef>
          </c:val>
          <c:smooth val="0"/>
          <c:extLst>
            <c:ext xmlns:c16="http://schemas.microsoft.com/office/drawing/2014/chart" uri="{C3380CC4-5D6E-409C-BE32-E72D297353CC}">
              <c16:uniqueId val="{00000001-C00F-4EE5-A32F-F0FE7DABD831}"/>
            </c:ext>
          </c:extLst>
        </c:ser>
        <c:dLbls>
          <c:showLegendKey val="0"/>
          <c:showVal val="0"/>
          <c:showCatName val="0"/>
          <c:showSerName val="0"/>
          <c:showPercent val="0"/>
          <c:showBubbleSize val="0"/>
        </c:dLbls>
        <c:smooth val="0"/>
        <c:axId val="928488192"/>
        <c:axId val="928488672"/>
      </c:lineChart>
      <c:catAx>
        <c:axId val="92848819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488672"/>
        <c:crosses val="autoZero"/>
        <c:auto val="1"/>
        <c:lblAlgn val="ctr"/>
        <c:lblOffset val="100"/>
        <c:noMultiLvlLbl val="0"/>
      </c:catAx>
      <c:valAx>
        <c:axId val="928488672"/>
        <c:scaling>
          <c:orientation val="minMax"/>
          <c:min val="60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488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2010 - 2011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'AZ Cardinals'!$D$181</c:f>
              <c:strCache>
                <c:ptCount val="1"/>
                <c:pt idx="0">
                  <c:v>week</c:v>
                </c:pt>
              </c:strCache>
            </c:strRef>
          </c:tx>
          <c:spPr>
            <a:ln w="28575" cap="rnd">
              <a:solidFill>
                <a:schemeClr val="accent1"/>
              </a:solidFill>
              <a:round/>
            </a:ln>
            <a:effectLst/>
          </c:spPr>
          <c:marker>
            <c:symbol val="none"/>
          </c:marker>
          <c:cat>
            <c:strLit>
              <c:ptCount val="8"/>
              <c:pt idx="0">
                <c:v>3</c:v>
              </c:pt>
              <c:pt idx="1">
                <c:v>5</c:v>
              </c:pt>
              <c:pt idx="2">
                <c:v>8</c:v>
              </c:pt>
              <c:pt idx="3">
                <c:v>10</c:v>
              </c:pt>
              <c:pt idx="4">
                <c:v>12</c:v>
              </c:pt>
              <c:pt idx="5">
                <c:v>13</c:v>
              </c:pt>
              <c:pt idx="6">
                <c:v>14</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'AZ Cardinals'!$D$182:$D$198</c15:sqref>
                  </c15:fullRef>
                </c:ext>
              </c:extLst>
              <c:f>('AZ Cardinals'!$D$184,'AZ Cardinals'!$D$186,'AZ Cardinals'!$D$189,'AZ Cardinals'!$D$191,'AZ Cardinals'!$D$193:$D$195,'AZ Cardinals'!$D$197)</c:f>
              <c:numCache>
                <c:formatCode>General</c:formatCode>
                <c:ptCount val="8"/>
                <c:pt idx="0">
                  <c:v>3</c:v>
                </c:pt>
                <c:pt idx="1">
                  <c:v>5</c:v>
                </c:pt>
                <c:pt idx="2">
                  <c:v>8</c:v>
                </c:pt>
                <c:pt idx="3">
                  <c:v>10</c:v>
                </c:pt>
                <c:pt idx="4">
                  <c:v>12</c:v>
                </c:pt>
                <c:pt idx="5">
                  <c:v>13</c:v>
                </c:pt>
                <c:pt idx="6">
                  <c:v>14</c:v>
                </c:pt>
                <c:pt idx="7">
                  <c:v>16</c:v>
                </c:pt>
              </c:numCache>
            </c:numRef>
          </c:val>
          <c:smooth val="0"/>
          <c:extLst>
            <c:ext xmlns:c16="http://schemas.microsoft.com/office/drawing/2014/chart" uri="{C3380CC4-5D6E-409C-BE32-E72D297353CC}">
              <c16:uniqueId val="{00000000-083E-4531-9E4D-A5E935298777}"/>
            </c:ext>
          </c:extLst>
        </c:ser>
        <c:ser>
          <c:idx val="1"/>
          <c:order val="1"/>
          <c:tx>
            <c:strRef>
              <c:f>'AZ Cardinals'!$E$181</c:f>
              <c:strCache>
                <c:ptCount val="1"/>
                <c:pt idx="0">
                  <c:v>weekly_attendance</c:v>
                </c:pt>
              </c:strCache>
            </c:strRef>
          </c:tx>
          <c:spPr>
            <a:ln w="28575" cap="rnd">
              <a:solidFill>
                <a:schemeClr val="accent2"/>
              </a:solidFill>
              <a:round/>
            </a:ln>
            <a:effectLst/>
          </c:spPr>
          <c:marker>
            <c:symbol val="none"/>
          </c:marker>
          <c:cat>
            <c:strLit>
              <c:ptCount val="8"/>
              <c:pt idx="0">
                <c:v>3</c:v>
              </c:pt>
              <c:pt idx="1">
                <c:v>5</c:v>
              </c:pt>
              <c:pt idx="2">
                <c:v>8</c:v>
              </c:pt>
              <c:pt idx="3">
                <c:v>10</c:v>
              </c:pt>
              <c:pt idx="4">
                <c:v>12</c:v>
              </c:pt>
              <c:pt idx="5">
                <c:v>13</c:v>
              </c:pt>
              <c:pt idx="6">
                <c:v>14</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'AZ Cardinals'!$E$182:$E$198</c15:sqref>
                  </c15:fullRef>
                </c:ext>
              </c:extLst>
              <c:f>('AZ Cardinals'!$E$184,'AZ Cardinals'!$E$186,'AZ Cardinals'!$E$189,'AZ Cardinals'!$E$191,'AZ Cardinals'!$E$193:$E$195,'AZ Cardinals'!$E$197)</c:f>
              <c:numCache>
                <c:formatCode>General</c:formatCode>
                <c:ptCount val="8"/>
                <c:pt idx="0">
                  <c:v>62439</c:v>
                </c:pt>
                <c:pt idx="1">
                  <c:v>62621</c:v>
                </c:pt>
                <c:pt idx="2">
                  <c:v>61857</c:v>
                </c:pt>
                <c:pt idx="3">
                  <c:v>61904</c:v>
                </c:pt>
                <c:pt idx="4">
                  <c:v>62308</c:v>
                </c:pt>
                <c:pt idx="5">
                  <c:v>61874</c:v>
                </c:pt>
                <c:pt idx="6">
                  <c:v>62223</c:v>
                </c:pt>
                <c:pt idx="7">
                  <c:v>66971</c:v>
                </c:pt>
              </c:numCache>
            </c:numRef>
          </c:val>
          <c:smooth val="0"/>
          <c:extLst>
            <c:ext xmlns:c16="http://schemas.microsoft.com/office/drawing/2014/chart" uri="{C3380CC4-5D6E-409C-BE32-E72D297353CC}">
              <c16:uniqueId val="{00000001-083E-4531-9E4D-A5E935298777}"/>
            </c:ext>
          </c:extLst>
        </c:ser>
        <c:dLbls>
          <c:showLegendKey val="0"/>
          <c:showVal val="0"/>
          <c:showCatName val="0"/>
          <c:showSerName val="0"/>
          <c:showPercent val="0"/>
          <c:showBubbleSize val="0"/>
        </c:dLbls>
        <c:smooth val="0"/>
        <c:axId val="928492992"/>
        <c:axId val="928495872"/>
      </c:lineChart>
      <c:catAx>
        <c:axId val="92849299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495872"/>
        <c:crosses val="autoZero"/>
        <c:auto val="1"/>
        <c:lblAlgn val="ctr"/>
        <c:lblOffset val="100"/>
        <c:noMultiLvlLbl val="0"/>
      </c:catAx>
      <c:valAx>
        <c:axId val="928495872"/>
        <c:scaling>
          <c:orientation val="minMax"/>
          <c:min val="60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492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2011 - 2012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'AZ Cardinals'!$D$199</c:f>
              <c:strCache>
                <c:ptCount val="1"/>
                <c:pt idx="0">
                  <c:v>week</c:v>
                </c:pt>
              </c:strCache>
            </c:strRef>
          </c:tx>
          <c:spPr>
            <a:ln w="28575" cap="rnd">
              <a:solidFill>
                <a:schemeClr val="accent1"/>
              </a:solidFill>
              <a:round/>
            </a:ln>
            <a:effectLst/>
          </c:spPr>
          <c:marker>
            <c:symbol val="none"/>
          </c:marker>
          <c:cat>
            <c:strLit>
              <c:ptCount val="8"/>
              <c:pt idx="0">
                <c:v>1</c:v>
              </c:pt>
              <c:pt idx="1">
                <c:v>4</c:v>
              </c:pt>
              <c:pt idx="2">
                <c:v>7</c:v>
              </c:pt>
              <c:pt idx="3">
                <c:v>9</c:v>
              </c:pt>
              <c:pt idx="4">
                <c:v>13</c:v>
              </c:pt>
              <c:pt idx="5">
                <c:v>14</c:v>
              </c:pt>
              <c:pt idx="6">
                <c:v>15</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'AZ Cardinals'!$D$200:$D$216</c15:sqref>
                  </c15:fullRef>
                </c:ext>
              </c:extLst>
              <c:f>('AZ Cardinals'!$D$200,'AZ Cardinals'!$D$203,'AZ Cardinals'!$D$206,'AZ Cardinals'!$D$208,'AZ Cardinals'!$D$212:$D$214,'AZ Cardinals'!$D$216)</c:f>
              <c:numCache>
                <c:formatCode>General</c:formatCode>
                <c:ptCount val="8"/>
                <c:pt idx="0">
                  <c:v>1</c:v>
                </c:pt>
                <c:pt idx="1">
                  <c:v>4</c:v>
                </c:pt>
                <c:pt idx="2">
                  <c:v>7</c:v>
                </c:pt>
                <c:pt idx="3">
                  <c:v>9</c:v>
                </c:pt>
                <c:pt idx="4">
                  <c:v>13</c:v>
                </c:pt>
                <c:pt idx="5">
                  <c:v>14</c:v>
                </c:pt>
                <c:pt idx="6">
                  <c:v>15</c:v>
                </c:pt>
                <c:pt idx="7">
                  <c:v>17</c:v>
                </c:pt>
              </c:numCache>
            </c:numRef>
          </c:val>
          <c:smooth val="0"/>
          <c:extLst>
            <c:ext xmlns:c16="http://schemas.microsoft.com/office/drawing/2014/chart" uri="{C3380CC4-5D6E-409C-BE32-E72D297353CC}">
              <c16:uniqueId val="{00000000-7523-4633-8920-2DB25BE41F15}"/>
            </c:ext>
          </c:extLst>
        </c:ser>
        <c:ser>
          <c:idx val="1"/>
          <c:order val="1"/>
          <c:tx>
            <c:strRef>
              <c:f>'AZ Cardinals'!$E$199</c:f>
              <c:strCache>
                <c:ptCount val="1"/>
                <c:pt idx="0">
                  <c:v>weekly_attendance</c:v>
                </c:pt>
              </c:strCache>
            </c:strRef>
          </c:tx>
          <c:spPr>
            <a:ln w="28575" cap="rnd">
              <a:solidFill>
                <a:schemeClr val="accent2"/>
              </a:solidFill>
              <a:round/>
            </a:ln>
            <a:effectLst/>
          </c:spPr>
          <c:marker>
            <c:symbol val="none"/>
          </c:marker>
          <c:cat>
            <c:strLit>
              <c:ptCount val="8"/>
              <c:pt idx="0">
                <c:v>1</c:v>
              </c:pt>
              <c:pt idx="1">
                <c:v>4</c:v>
              </c:pt>
              <c:pt idx="2">
                <c:v>7</c:v>
              </c:pt>
              <c:pt idx="3">
                <c:v>9</c:v>
              </c:pt>
              <c:pt idx="4">
                <c:v>13</c:v>
              </c:pt>
              <c:pt idx="5">
                <c:v>14</c:v>
              </c:pt>
              <c:pt idx="6">
                <c:v>15</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'AZ Cardinals'!$E$200:$E$216</c15:sqref>
                  </c15:fullRef>
                </c:ext>
              </c:extLst>
              <c:f>('AZ Cardinals'!$E$200,'AZ Cardinals'!$E$203,'AZ Cardinals'!$E$206,'AZ Cardinals'!$E$208,'AZ Cardinals'!$E$212:$E$214,'AZ Cardinals'!$E$216)</c:f>
              <c:numCache>
                <c:formatCode>General</c:formatCode>
                <c:ptCount val="8"/>
                <c:pt idx="0">
                  <c:v>60627</c:v>
                </c:pt>
                <c:pt idx="1">
                  <c:v>60496</c:v>
                </c:pt>
                <c:pt idx="2">
                  <c:v>62475</c:v>
                </c:pt>
                <c:pt idx="3">
                  <c:v>60628</c:v>
                </c:pt>
                <c:pt idx="4">
                  <c:v>62180</c:v>
                </c:pt>
                <c:pt idx="5">
                  <c:v>60808</c:v>
                </c:pt>
                <c:pt idx="6">
                  <c:v>60443</c:v>
                </c:pt>
                <c:pt idx="7">
                  <c:v>61798</c:v>
                </c:pt>
              </c:numCache>
            </c:numRef>
          </c:val>
          <c:smooth val="0"/>
          <c:extLst>
            <c:ext xmlns:c16="http://schemas.microsoft.com/office/drawing/2014/chart" uri="{C3380CC4-5D6E-409C-BE32-E72D297353CC}">
              <c16:uniqueId val="{00000001-7523-4633-8920-2DB25BE41F15}"/>
            </c:ext>
          </c:extLst>
        </c:ser>
        <c:dLbls>
          <c:showLegendKey val="0"/>
          <c:showVal val="0"/>
          <c:showCatName val="0"/>
          <c:showSerName val="0"/>
          <c:showPercent val="0"/>
          <c:showBubbleSize val="0"/>
        </c:dLbls>
        <c:smooth val="0"/>
        <c:axId val="928381152"/>
        <c:axId val="928391232"/>
      </c:lineChart>
      <c:catAx>
        <c:axId val="92838115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391232"/>
        <c:crosses val="autoZero"/>
        <c:auto val="1"/>
        <c:lblAlgn val="ctr"/>
        <c:lblOffset val="100"/>
        <c:noMultiLvlLbl val="0"/>
      </c:catAx>
      <c:valAx>
        <c:axId val="928391232"/>
        <c:scaling>
          <c:orientation val="minMax"/>
          <c:min val="58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381152"/>
        <c:crosses val="autoZero"/>
        <c:crossBetween val="between"/>
        <c:maj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2012 - 2013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'AZ Cardinals'!$D$217</c:f>
              <c:strCache>
                <c:ptCount val="1"/>
                <c:pt idx="0">
                  <c:v>week</c:v>
                </c:pt>
              </c:strCache>
            </c:strRef>
          </c:tx>
          <c:spPr>
            <a:ln w="28575" cap="rnd">
              <a:solidFill>
                <a:schemeClr val="accent1"/>
              </a:solidFill>
              <a:round/>
            </a:ln>
            <a:effectLst/>
          </c:spPr>
          <c:marker>
            <c:symbol val="none"/>
          </c:marker>
          <c:cat>
            <c:strLit>
              <c:ptCount val="8"/>
              <c:pt idx="0">
                <c:v>1</c:v>
              </c:pt>
              <c:pt idx="1">
                <c:v>3</c:v>
              </c:pt>
              <c:pt idx="2">
                <c:v>4</c:v>
              </c:pt>
              <c:pt idx="3">
                <c:v>6</c:v>
              </c:pt>
              <c:pt idx="4">
                <c:v>8</c:v>
              </c:pt>
              <c:pt idx="5">
                <c:v>12</c:v>
              </c:pt>
              <c:pt idx="6">
                <c:v>15</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'AZ Cardinals'!$D$218:$D$234</c15:sqref>
                  </c15:fullRef>
                </c:ext>
              </c:extLst>
              <c:f>('AZ Cardinals'!$D$218,'AZ Cardinals'!$D$220:$D$221,'AZ Cardinals'!$D$223,'AZ Cardinals'!$D$225,'AZ Cardinals'!$D$229,'AZ Cardinals'!$D$232:$D$233)</c:f>
              <c:numCache>
                <c:formatCode>General</c:formatCode>
                <c:ptCount val="8"/>
                <c:pt idx="0">
                  <c:v>1</c:v>
                </c:pt>
                <c:pt idx="1">
                  <c:v>3</c:v>
                </c:pt>
                <c:pt idx="2">
                  <c:v>4</c:v>
                </c:pt>
                <c:pt idx="3">
                  <c:v>6</c:v>
                </c:pt>
                <c:pt idx="4">
                  <c:v>8</c:v>
                </c:pt>
                <c:pt idx="5">
                  <c:v>12</c:v>
                </c:pt>
                <c:pt idx="6">
                  <c:v>15</c:v>
                </c:pt>
                <c:pt idx="7">
                  <c:v>16</c:v>
                </c:pt>
              </c:numCache>
            </c:numRef>
          </c:val>
          <c:smooth val="0"/>
          <c:extLst>
            <c:ext xmlns:c16="http://schemas.microsoft.com/office/drawing/2014/chart" uri="{C3380CC4-5D6E-409C-BE32-E72D297353CC}">
              <c16:uniqueId val="{00000000-CB1A-4B6C-BD61-5EB660DF18AC}"/>
            </c:ext>
          </c:extLst>
        </c:ser>
        <c:ser>
          <c:idx val="1"/>
          <c:order val="1"/>
          <c:tx>
            <c:strRef>
              <c:f>'AZ Cardinals'!$E$217</c:f>
              <c:strCache>
                <c:ptCount val="1"/>
                <c:pt idx="0">
                  <c:v>weekly_attendance</c:v>
                </c:pt>
              </c:strCache>
            </c:strRef>
          </c:tx>
          <c:spPr>
            <a:ln w="28575" cap="rnd">
              <a:solidFill>
                <a:schemeClr val="accent2"/>
              </a:solidFill>
              <a:round/>
            </a:ln>
            <a:effectLst/>
          </c:spPr>
          <c:marker>
            <c:symbol val="none"/>
          </c:marker>
          <c:cat>
            <c:strLit>
              <c:ptCount val="8"/>
              <c:pt idx="0">
                <c:v>1</c:v>
              </c:pt>
              <c:pt idx="1">
                <c:v>3</c:v>
              </c:pt>
              <c:pt idx="2">
                <c:v>4</c:v>
              </c:pt>
              <c:pt idx="3">
                <c:v>6</c:v>
              </c:pt>
              <c:pt idx="4">
                <c:v>8</c:v>
              </c:pt>
              <c:pt idx="5">
                <c:v>12</c:v>
              </c:pt>
              <c:pt idx="6">
                <c:v>15</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'AZ Cardinals'!$E$218:$E$234</c15:sqref>
                  </c15:fullRef>
                </c:ext>
              </c:extLst>
              <c:f>('AZ Cardinals'!$E$218,'AZ Cardinals'!$E$220:$E$221,'AZ Cardinals'!$E$223,'AZ Cardinals'!$E$225,'AZ Cardinals'!$E$229,'AZ Cardinals'!$E$232:$E$233)</c:f>
              <c:numCache>
                <c:formatCode>General</c:formatCode>
                <c:ptCount val="8"/>
                <c:pt idx="0">
                  <c:v>60032</c:v>
                </c:pt>
                <c:pt idx="1">
                  <c:v>60436</c:v>
                </c:pt>
                <c:pt idx="2">
                  <c:v>60183</c:v>
                </c:pt>
                <c:pt idx="3">
                  <c:v>60385</c:v>
                </c:pt>
                <c:pt idx="4">
                  <c:v>62810</c:v>
                </c:pt>
                <c:pt idx="5">
                  <c:v>60062</c:v>
                </c:pt>
                <c:pt idx="6">
                  <c:v>60483</c:v>
                </c:pt>
                <c:pt idx="7">
                  <c:v>62734</c:v>
                </c:pt>
              </c:numCache>
            </c:numRef>
          </c:val>
          <c:smooth val="0"/>
          <c:extLst>
            <c:ext xmlns:c16="http://schemas.microsoft.com/office/drawing/2014/chart" uri="{C3380CC4-5D6E-409C-BE32-E72D297353CC}">
              <c16:uniqueId val="{00000001-CB1A-4B6C-BD61-5EB660DF18AC}"/>
            </c:ext>
          </c:extLst>
        </c:ser>
        <c:dLbls>
          <c:showLegendKey val="0"/>
          <c:showVal val="0"/>
          <c:showCatName val="0"/>
          <c:showSerName val="0"/>
          <c:showPercent val="0"/>
          <c:showBubbleSize val="0"/>
        </c:dLbls>
        <c:smooth val="0"/>
        <c:axId val="928403232"/>
        <c:axId val="928395552"/>
      </c:lineChart>
      <c:catAx>
        <c:axId val="92840323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395552"/>
        <c:crosses val="autoZero"/>
        <c:auto val="1"/>
        <c:lblAlgn val="ctr"/>
        <c:lblOffset val="100"/>
        <c:noMultiLvlLbl val="0"/>
      </c:catAx>
      <c:valAx>
        <c:axId val="928395552"/>
        <c:scaling>
          <c:orientation val="minMax"/>
          <c:min val="58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403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2013 - 2014</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'AZ Cardinals'!$D$235</c:f>
              <c:strCache>
                <c:ptCount val="1"/>
                <c:pt idx="0">
                  <c:v>week</c:v>
                </c:pt>
              </c:strCache>
            </c:strRef>
          </c:tx>
          <c:spPr>
            <a:ln w="28575" cap="rnd">
              <a:solidFill>
                <a:schemeClr val="accent1"/>
              </a:solidFill>
              <a:round/>
            </a:ln>
            <a:effectLst/>
          </c:spPr>
          <c:marker>
            <c:symbol val="none"/>
          </c:marker>
          <c:cat>
            <c:strLit>
              <c:ptCount val="8"/>
              <c:pt idx="0">
                <c:v>2</c:v>
              </c:pt>
              <c:pt idx="1">
                <c:v>5</c:v>
              </c:pt>
              <c:pt idx="2">
                <c:v>7</c:v>
              </c:pt>
              <c:pt idx="3">
                <c:v>8</c:v>
              </c:pt>
              <c:pt idx="4">
                <c:v>10</c:v>
              </c:pt>
              <c:pt idx="5">
                <c:v>12</c:v>
              </c:pt>
              <c:pt idx="6">
                <c:v>14</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'AZ Cardinals'!$D$236:$D$252</c15:sqref>
                  </c15:fullRef>
                </c:ext>
              </c:extLst>
              <c:f>('AZ Cardinals'!$D$237,'AZ Cardinals'!$D$240,'AZ Cardinals'!$D$242:$D$243,'AZ Cardinals'!$D$245,'AZ Cardinals'!$D$247,'AZ Cardinals'!$D$249,'AZ Cardinals'!$D$252)</c:f>
              <c:numCache>
                <c:formatCode>General</c:formatCode>
                <c:ptCount val="8"/>
                <c:pt idx="0">
                  <c:v>2</c:v>
                </c:pt>
                <c:pt idx="1">
                  <c:v>5</c:v>
                </c:pt>
                <c:pt idx="2">
                  <c:v>7</c:v>
                </c:pt>
                <c:pt idx="3">
                  <c:v>8</c:v>
                </c:pt>
                <c:pt idx="4">
                  <c:v>10</c:v>
                </c:pt>
                <c:pt idx="5">
                  <c:v>12</c:v>
                </c:pt>
                <c:pt idx="6">
                  <c:v>14</c:v>
                </c:pt>
                <c:pt idx="7">
                  <c:v>17</c:v>
                </c:pt>
              </c:numCache>
            </c:numRef>
          </c:val>
          <c:smooth val="0"/>
          <c:extLst>
            <c:ext xmlns:c16="http://schemas.microsoft.com/office/drawing/2014/chart" uri="{C3380CC4-5D6E-409C-BE32-E72D297353CC}">
              <c16:uniqueId val="{00000000-9162-4F77-BEB5-C25872DC95D7}"/>
            </c:ext>
          </c:extLst>
        </c:ser>
        <c:ser>
          <c:idx val="1"/>
          <c:order val="1"/>
          <c:tx>
            <c:strRef>
              <c:f>'AZ Cardinals'!$E$235</c:f>
              <c:strCache>
                <c:ptCount val="1"/>
                <c:pt idx="0">
                  <c:v>weekly_attendance</c:v>
                </c:pt>
              </c:strCache>
            </c:strRef>
          </c:tx>
          <c:spPr>
            <a:ln w="28575" cap="rnd">
              <a:solidFill>
                <a:schemeClr val="accent2"/>
              </a:solidFill>
              <a:round/>
            </a:ln>
            <a:effectLst/>
          </c:spPr>
          <c:marker>
            <c:symbol val="none"/>
          </c:marker>
          <c:cat>
            <c:strLit>
              <c:ptCount val="8"/>
              <c:pt idx="0">
                <c:v>2</c:v>
              </c:pt>
              <c:pt idx="1">
                <c:v>5</c:v>
              </c:pt>
              <c:pt idx="2">
                <c:v>7</c:v>
              </c:pt>
              <c:pt idx="3">
                <c:v>8</c:v>
              </c:pt>
              <c:pt idx="4">
                <c:v>10</c:v>
              </c:pt>
              <c:pt idx="5">
                <c:v>12</c:v>
              </c:pt>
              <c:pt idx="6">
                <c:v>14</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'AZ Cardinals'!$E$236:$E$252</c15:sqref>
                  </c15:fullRef>
                </c:ext>
              </c:extLst>
              <c:f>('AZ Cardinals'!$E$237,'AZ Cardinals'!$E$240,'AZ Cardinals'!$E$242:$E$243,'AZ Cardinals'!$E$245,'AZ Cardinals'!$E$247,'AZ Cardinals'!$E$249,'AZ Cardinals'!$E$252)</c:f>
              <c:numCache>
                <c:formatCode>General</c:formatCode>
                <c:ptCount val="8"/>
                <c:pt idx="0">
                  <c:v>60034</c:v>
                </c:pt>
                <c:pt idx="1">
                  <c:v>60426</c:v>
                </c:pt>
                <c:pt idx="2">
                  <c:v>61200</c:v>
                </c:pt>
                <c:pt idx="3">
                  <c:v>60671</c:v>
                </c:pt>
                <c:pt idx="4">
                  <c:v>60845</c:v>
                </c:pt>
                <c:pt idx="5">
                  <c:v>60882</c:v>
                </c:pt>
                <c:pt idx="6">
                  <c:v>60643</c:v>
                </c:pt>
                <c:pt idx="7">
                  <c:v>63570</c:v>
                </c:pt>
              </c:numCache>
            </c:numRef>
          </c:val>
          <c:smooth val="0"/>
          <c:extLst>
            <c:ext xmlns:c16="http://schemas.microsoft.com/office/drawing/2014/chart" uri="{C3380CC4-5D6E-409C-BE32-E72D297353CC}">
              <c16:uniqueId val="{00000001-9162-4F77-BEB5-C25872DC95D7}"/>
            </c:ext>
          </c:extLst>
        </c:ser>
        <c:dLbls>
          <c:showLegendKey val="0"/>
          <c:showVal val="0"/>
          <c:showCatName val="0"/>
          <c:showSerName val="0"/>
          <c:showPercent val="0"/>
          <c:showBubbleSize val="0"/>
        </c:dLbls>
        <c:smooth val="0"/>
        <c:axId val="1055923648"/>
        <c:axId val="1055907328"/>
      </c:lineChart>
      <c:catAx>
        <c:axId val="105592364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5907328"/>
        <c:crosses val="autoZero"/>
        <c:auto val="1"/>
        <c:lblAlgn val="ctr"/>
        <c:lblOffset val="100"/>
        <c:noMultiLvlLbl val="0"/>
      </c:catAx>
      <c:valAx>
        <c:axId val="1055907328"/>
        <c:scaling>
          <c:orientation val="minMax"/>
          <c:min val="58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5923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2014 - 2015</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'AZ Cardinals'!$D$253</c:f>
              <c:strCache>
                <c:ptCount val="1"/>
                <c:pt idx="0">
                  <c:v>week</c:v>
                </c:pt>
              </c:strCache>
            </c:strRef>
          </c:tx>
          <c:spPr>
            <a:ln w="28575" cap="rnd">
              <a:solidFill>
                <a:schemeClr val="accent1"/>
              </a:solidFill>
              <a:round/>
            </a:ln>
            <a:effectLst/>
          </c:spPr>
          <c:marker>
            <c:symbol val="none"/>
          </c:marker>
          <c:cat>
            <c:strLit>
              <c:ptCount val="8"/>
              <c:pt idx="0">
                <c:v>1</c:v>
              </c:pt>
              <c:pt idx="1">
                <c:v>3</c:v>
              </c:pt>
              <c:pt idx="2">
                <c:v>6</c:v>
              </c:pt>
              <c:pt idx="3">
                <c:v>8</c:v>
              </c:pt>
              <c:pt idx="4">
                <c:v>10</c:v>
              </c:pt>
              <c:pt idx="5">
                <c:v>11</c:v>
              </c:pt>
              <c:pt idx="6">
                <c:v>14</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'AZ Cardinals'!$D$254:$D$270</c15:sqref>
                  </c15:fullRef>
                </c:ext>
              </c:extLst>
              <c:f>('AZ Cardinals'!$D$254,'AZ Cardinals'!$D$256,'AZ Cardinals'!$D$259,'AZ Cardinals'!$D$261,'AZ Cardinals'!$D$263:$D$264,'AZ Cardinals'!$D$267,'AZ Cardinals'!$D$269)</c:f>
              <c:numCache>
                <c:formatCode>General</c:formatCode>
                <c:ptCount val="8"/>
                <c:pt idx="0">
                  <c:v>1</c:v>
                </c:pt>
                <c:pt idx="1">
                  <c:v>3</c:v>
                </c:pt>
                <c:pt idx="2">
                  <c:v>6</c:v>
                </c:pt>
                <c:pt idx="3">
                  <c:v>8</c:v>
                </c:pt>
                <c:pt idx="4">
                  <c:v>10</c:v>
                </c:pt>
                <c:pt idx="5">
                  <c:v>11</c:v>
                </c:pt>
                <c:pt idx="6">
                  <c:v>14</c:v>
                </c:pt>
                <c:pt idx="7">
                  <c:v>16</c:v>
                </c:pt>
              </c:numCache>
            </c:numRef>
          </c:val>
          <c:smooth val="0"/>
          <c:extLst>
            <c:ext xmlns:c16="http://schemas.microsoft.com/office/drawing/2014/chart" uri="{C3380CC4-5D6E-409C-BE32-E72D297353CC}">
              <c16:uniqueId val="{00000000-A006-467C-ABEF-ED574AEE78D4}"/>
            </c:ext>
          </c:extLst>
        </c:ser>
        <c:ser>
          <c:idx val="1"/>
          <c:order val="1"/>
          <c:tx>
            <c:strRef>
              <c:f>'AZ Cardinals'!$E$253</c:f>
              <c:strCache>
                <c:ptCount val="1"/>
                <c:pt idx="0">
                  <c:v>weekly_attendance</c:v>
                </c:pt>
              </c:strCache>
            </c:strRef>
          </c:tx>
          <c:spPr>
            <a:ln w="28575" cap="rnd">
              <a:solidFill>
                <a:schemeClr val="accent2"/>
              </a:solidFill>
              <a:round/>
            </a:ln>
            <a:effectLst/>
          </c:spPr>
          <c:marker>
            <c:symbol val="none"/>
          </c:marker>
          <c:cat>
            <c:strLit>
              <c:ptCount val="8"/>
              <c:pt idx="0">
                <c:v>1</c:v>
              </c:pt>
              <c:pt idx="1">
                <c:v>3</c:v>
              </c:pt>
              <c:pt idx="2">
                <c:v>6</c:v>
              </c:pt>
              <c:pt idx="3">
                <c:v>8</c:v>
              </c:pt>
              <c:pt idx="4">
                <c:v>10</c:v>
              </c:pt>
              <c:pt idx="5">
                <c:v>11</c:v>
              </c:pt>
              <c:pt idx="6">
                <c:v>14</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'AZ Cardinals'!$E$254:$E$270</c15:sqref>
                  </c15:fullRef>
                </c:ext>
              </c:extLst>
              <c:f>('AZ Cardinals'!$E$254,'AZ Cardinals'!$E$256,'AZ Cardinals'!$E$259,'AZ Cardinals'!$E$261,'AZ Cardinals'!$E$263:$E$264,'AZ Cardinals'!$E$267,'AZ Cardinals'!$E$269)</c:f>
              <c:numCache>
                <c:formatCode>General</c:formatCode>
                <c:ptCount val="8"/>
                <c:pt idx="0">
                  <c:v>61292</c:v>
                </c:pt>
                <c:pt idx="1">
                  <c:v>61572</c:v>
                </c:pt>
                <c:pt idx="2">
                  <c:v>61139</c:v>
                </c:pt>
                <c:pt idx="3">
                  <c:v>61789</c:v>
                </c:pt>
                <c:pt idx="4">
                  <c:v>61363</c:v>
                </c:pt>
                <c:pt idx="5">
                  <c:v>62487</c:v>
                </c:pt>
                <c:pt idx="6">
                  <c:v>62387</c:v>
                </c:pt>
                <c:pt idx="7">
                  <c:v>63806</c:v>
                </c:pt>
              </c:numCache>
            </c:numRef>
          </c:val>
          <c:smooth val="0"/>
          <c:extLst>
            <c:ext xmlns:c16="http://schemas.microsoft.com/office/drawing/2014/chart" uri="{C3380CC4-5D6E-409C-BE32-E72D297353CC}">
              <c16:uniqueId val="{00000001-A006-467C-ABEF-ED574AEE78D4}"/>
            </c:ext>
          </c:extLst>
        </c:ser>
        <c:dLbls>
          <c:showLegendKey val="0"/>
          <c:showVal val="0"/>
          <c:showCatName val="0"/>
          <c:showSerName val="0"/>
          <c:showPercent val="0"/>
          <c:showBubbleSize val="0"/>
        </c:dLbls>
        <c:smooth val="0"/>
        <c:axId val="928454112"/>
        <c:axId val="928456512"/>
      </c:lineChart>
      <c:catAx>
        <c:axId val="9284541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456512"/>
        <c:crosses val="autoZero"/>
        <c:auto val="1"/>
        <c:lblAlgn val="ctr"/>
        <c:lblOffset val="100"/>
        <c:noMultiLvlLbl val="0"/>
      </c:catAx>
      <c:valAx>
        <c:axId val="928456512"/>
        <c:scaling>
          <c:orientation val="minMax"/>
          <c:min val="60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454112"/>
        <c:crosses val="autoZero"/>
        <c:crossBetween val="between"/>
        <c:maj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2015 2016</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'AZ Cardinals'!$D$271</c:f>
              <c:strCache>
                <c:ptCount val="1"/>
                <c:pt idx="0">
                  <c:v>week</c:v>
                </c:pt>
              </c:strCache>
            </c:strRef>
          </c:tx>
          <c:spPr>
            <a:ln w="28575" cap="rnd">
              <a:solidFill>
                <a:schemeClr val="accent1"/>
              </a:solidFill>
              <a:round/>
            </a:ln>
            <a:effectLst/>
          </c:spPr>
          <c:marker>
            <c:symbol val="none"/>
          </c:marker>
          <c:cat>
            <c:strLit>
              <c:ptCount val="8"/>
              <c:pt idx="0">
                <c:v>1</c:v>
              </c:pt>
              <c:pt idx="1">
                <c:v>3</c:v>
              </c:pt>
              <c:pt idx="2">
                <c:v>4</c:v>
              </c:pt>
              <c:pt idx="3">
                <c:v>7</c:v>
              </c:pt>
              <c:pt idx="4">
                <c:v>11</c:v>
              </c:pt>
              <c:pt idx="5">
                <c:v>14</c:v>
              </c:pt>
              <c:pt idx="6">
                <c:v>16</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'AZ Cardinals'!$D$272:$D$288</c15:sqref>
                  </c15:fullRef>
                </c:ext>
              </c:extLst>
              <c:f>('AZ Cardinals'!$D$272,'AZ Cardinals'!$D$274:$D$275,'AZ Cardinals'!$D$278,'AZ Cardinals'!$D$282,'AZ Cardinals'!$D$285,'AZ Cardinals'!$D$287:$D$288)</c:f>
              <c:numCache>
                <c:formatCode>General</c:formatCode>
                <c:ptCount val="8"/>
                <c:pt idx="0">
                  <c:v>1</c:v>
                </c:pt>
                <c:pt idx="1">
                  <c:v>3</c:v>
                </c:pt>
                <c:pt idx="2">
                  <c:v>4</c:v>
                </c:pt>
                <c:pt idx="3">
                  <c:v>7</c:v>
                </c:pt>
                <c:pt idx="4">
                  <c:v>11</c:v>
                </c:pt>
                <c:pt idx="5">
                  <c:v>14</c:v>
                </c:pt>
                <c:pt idx="6">
                  <c:v>16</c:v>
                </c:pt>
                <c:pt idx="7">
                  <c:v>17</c:v>
                </c:pt>
              </c:numCache>
            </c:numRef>
          </c:val>
          <c:smooth val="0"/>
          <c:extLst>
            <c:ext xmlns:c16="http://schemas.microsoft.com/office/drawing/2014/chart" uri="{C3380CC4-5D6E-409C-BE32-E72D297353CC}">
              <c16:uniqueId val="{00000000-FF45-447F-8F0E-AEF3AA6C5A89}"/>
            </c:ext>
          </c:extLst>
        </c:ser>
        <c:ser>
          <c:idx val="1"/>
          <c:order val="1"/>
          <c:tx>
            <c:strRef>
              <c:f>'AZ Cardinals'!$E$271</c:f>
              <c:strCache>
                <c:ptCount val="1"/>
                <c:pt idx="0">
                  <c:v>weekly_attendance</c:v>
                </c:pt>
              </c:strCache>
            </c:strRef>
          </c:tx>
          <c:spPr>
            <a:ln w="28575" cap="rnd">
              <a:solidFill>
                <a:schemeClr val="accent2"/>
              </a:solidFill>
              <a:round/>
            </a:ln>
            <a:effectLst/>
          </c:spPr>
          <c:marker>
            <c:symbol val="none"/>
          </c:marker>
          <c:cat>
            <c:strLit>
              <c:ptCount val="8"/>
              <c:pt idx="0">
                <c:v>1</c:v>
              </c:pt>
              <c:pt idx="1">
                <c:v>3</c:v>
              </c:pt>
              <c:pt idx="2">
                <c:v>4</c:v>
              </c:pt>
              <c:pt idx="3">
                <c:v>7</c:v>
              </c:pt>
              <c:pt idx="4">
                <c:v>11</c:v>
              </c:pt>
              <c:pt idx="5">
                <c:v>14</c:v>
              </c:pt>
              <c:pt idx="6">
                <c:v>16</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'AZ Cardinals'!$E$272:$E$288</c15:sqref>
                  </c15:fullRef>
                </c:ext>
              </c:extLst>
              <c:f>('AZ Cardinals'!$E$272,'AZ Cardinals'!$E$274:$E$275,'AZ Cardinals'!$E$278,'AZ Cardinals'!$E$282,'AZ Cardinals'!$E$285,'AZ Cardinals'!$E$287:$E$288)</c:f>
              <c:numCache>
                <c:formatCode>General</c:formatCode>
                <c:ptCount val="8"/>
                <c:pt idx="0">
                  <c:v>62903</c:v>
                </c:pt>
                <c:pt idx="1">
                  <c:v>63663</c:v>
                </c:pt>
                <c:pt idx="2">
                  <c:v>63146</c:v>
                </c:pt>
                <c:pt idx="3">
                  <c:v>64722</c:v>
                </c:pt>
                <c:pt idx="4">
                  <c:v>64745</c:v>
                </c:pt>
                <c:pt idx="5">
                  <c:v>64784</c:v>
                </c:pt>
                <c:pt idx="6">
                  <c:v>64878</c:v>
                </c:pt>
                <c:pt idx="7">
                  <c:v>64646</c:v>
                </c:pt>
              </c:numCache>
            </c:numRef>
          </c:val>
          <c:smooth val="0"/>
          <c:extLst>
            <c:ext xmlns:c16="http://schemas.microsoft.com/office/drawing/2014/chart" uri="{C3380CC4-5D6E-409C-BE32-E72D297353CC}">
              <c16:uniqueId val="{00000001-FF45-447F-8F0E-AEF3AA6C5A89}"/>
            </c:ext>
          </c:extLst>
        </c:ser>
        <c:dLbls>
          <c:showLegendKey val="0"/>
          <c:showVal val="0"/>
          <c:showCatName val="0"/>
          <c:showSerName val="0"/>
          <c:showPercent val="0"/>
          <c:showBubbleSize val="0"/>
        </c:dLbls>
        <c:smooth val="0"/>
        <c:axId val="928376352"/>
        <c:axId val="928393152"/>
      </c:lineChart>
      <c:catAx>
        <c:axId val="92837635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393152"/>
        <c:crosses val="autoZero"/>
        <c:auto val="1"/>
        <c:lblAlgn val="ctr"/>
        <c:lblOffset val="100"/>
        <c:noMultiLvlLbl val="0"/>
      </c:catAx>
      <c:valAx>
        <c:axId val="928393152"/>
        <c:scaling>
          <c:orientation val="minMax"/>
          <c:min val="60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376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2016 - 2017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'AZ Cardinals'!$D$289</c:f>
              <c:strCache>
                <c:ptCount val="1"/>
                <c:pt idx="0">
                  <c:v>week</c:v>
                </c:pt>
              </c:strCache>
            </c:strRef>
          </c:tx>
          <c:spPr>
            <a:ln w="28575" cap="rnd">
              <a:solidFill>
                <a:schemeClr val="accent1"/>
              </a:solidFill>
              <a:round/>
            </a:ln>
            <a:effectLst/>
          </c:spPr>
          <c:marker>
            <c:symbol val="none"/>
          </c:marker>
          <c:cat>
            <c:strLit>
              <c:ptCount val="8"/>
              <c:pt idx="0">
                <c:v>1</c:v>
              </c:pt>
              <c:pt idx="1">
                <c:v>2</c:v>
              </c:pt>
              <c:pt idx="2">
                <c:v>4</c:v>
              </c:pt>
              <c:pt idx="3">
                <c:v>6</c:v>
              </c:pt>
              <c:pt idx="4">
                <c:v>7</c:v>
              </c:pt>
              <c:pt idx="5">
                <c:v>10</c:v>
              </c:pt>
              <c:pt idx="6">
                <c:v>13</c:v>
              </c:pt>
              <c:pt idx="7">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'AZ Cardinals'!$D$290:$D$306</c15:sqref>
                  </c15:fullRef>
                </c:ext>
              </c:extLst>
              <c:f>('AZ Cardinals'!$D$290:$D$291,'AZ Cardinals'!$D$293,'AZ Cardinals'!$D$295:$D$296,'AZ Cardinals'!$D$299,'AZ Cardinals'!$D$302,'AZ Cardinals'!$D$304)</c:f>
              <c:numCache>
                <c:formatCode>General</c:formatCode>
                <c:ptCount val="8"/>
                <c:pt idx="0">
                  <c:v>1</c:v>
                </c:pt>
                <c:pt idx="1">
                  <c:v>2</c:v>
                </c:pt>
                <c:pt idx="2">
                  <c:v>4</c:v>
                </c:pt>
                <c:pt idx="3">
                  <c:v>6</c:v>
                </c:pt>
                <c:pt idx="4">
                  <c:v>7</c:v>
                </c:pt>
                <c:pt idx="5">
                  <c:v>10</c:v>
                </c:pt>
                <c:pt idx="6">
                  <c:v>13</c:v>
                </c:pt>
                <c:pt idx="7">
                  <c:v>15</c:v>
                </c:pt>
              </c:numCache>
            </c:numRef>
          </c:val>
          <c:smooth val="0"/>
          <c:extLst>
            <c:ext xmlns:c16="http://schemas.microsoft.com/office/drawing/2014/chart" uri="{C3380CC4-5D6E-409C-BE32-E72D297353CC}">
              <c16:uniqueId val="{00000000-3B8B-4159-B23F-0FDE486A551D}"/>
            </c:ext>
          </c:extLst>
        </c:ser>
        <c:ser>
          <c:idx val="1"/>
          <c:order val="1"/>
          <c:tx>
            <c:strRef>
              <c:f>'AZ Cardinals'!$E$289</c:f>
              <c:strCache>
                <c:ptCount val="1"/>
                <c:pt idx="0">
                  <c:v>weekly_attendance</c:v>
                </c:pt>
              </c:strCache>
            </c:strRef>
          </c:tx>
          <c:spPr>
            <a:ln w="28575" cap="rnd">
              <a:solidFill>
                <a:schemeClr val="accent2"/>
              </a:solidFill>
              <a:round/>
            </a:ln>
            <a:effectLst/>
          </c:spPr>
          <c:marker>
            <c:symbol val="none"/>
          </c:marker>
          <c:cat>
            <c:strLit>
              <c:ptCount val="8"/>
              <c:pt idx="0">
                <c:v>1</c:v>
              </c:pt>
              <c:pt idx="1">
                <c:v>2</c:v>
              </c:pt>
              <c:pt idx="2">
                <c:v>4</c:v>
              </c:pt>
              <c:pt idx="3">
                <c:v>6</c:v>
              </c:pt>
              <c:pt idx="4">
                <c:v>7</c:v>
              </c:pt>
              <c:pt idx="5">
                <c:v>10</c:v>
              </c:pt>
              <c:pt idx="6">
                <c:v>13</c:v>
              </c:pt>
              <c:pt idx="7">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'AZ Cardinals'!$E$290:$E$306</c15:sqref>
                  </c15:fullRef>
                </c:ext>
              </c:extLst>
              <c:f>('AZ Cardinals'!$E$290:$E$291,'AZ Cardinals'!$E$293,'AZ Cardinals'!$E$295:$E$296,'AZ Cardinals'!$E$299,'AZ Cardinals'!$E$302,'AZ Cardinals'!$E$304)</c:f>
              <c:numCache>
                <c:formatCode>General</c:formatCode>
                <c:ptCount val="8"/>
                <c:pt idx="0">
                  <c:v>64864</c:v>
                </c:pt>
                <c:pt idx="1">
                  <c:v>64230</c:v>
                </c:pt>
                <c:pt idx="2">
                  <c:v>64622</c:v>
                </c:pt>
                <c:pt idx="3">
                  <c:v>64709</c:v>
                </c:pt>
                <c:pt idx="4">
                  <c:v>65089</c:v>
                </c:pt>
                <c:pt idx="5">
                  <c:v>65127</c:v>
                </c:pt>
                <c:pt idx="6">
                  <c:v>64939</c:v>
                </c:pt>
                <c:pt idx="7">
                  <c:v>65072</c:v>
                </c:pt>
              </c:numCache>
            </c:numRef>
          </c:val>
          <c:smooth val="0"/>
          <c:extLst>
            <c:ext xmlns:c16="http://schemas.microsoft.com/office/drawing/2014/chart" uri="{C3380CC4-5D6E-409C-BE32-E72D297353CC}">
              <c16:uniqueId val="{00000001-3B8B-4159-B23F-0FDE486A551D}"/>
            </c:ext>
          </c:extLst>
        </c:ser>
        <c:dLbls>
          <c:showLegendKey val="0"/>
          <c:showVal val="0"/>
          <c:showCatName val="0"/>
          <c:showSerName val="0"/>
          <c:showPercent val="0"/>
          <c:showBubbleSize val="0"/>
        </c:dLbls>
        <c:smooth val="0"/>
        <c:axId val="928467552"/>
        <c:axId val="928484352"/>
      </c:lineChart>
      <c:catAx>
        <c:axId val="92846755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484352"/>
        <c:crosses val="autoZero"/>
        <c:auto val="1"/>
        <c:lblAlgn val="ctr"/>
        <c:lblOffset val="100"/>
        <c:noMultiLvlLbl val="0"/>
      </c:catAx>
      <c:valAx>
        <c:axId val="928484352"/>
        <c:scaling>
          <c:orientation val="minMax"/>
          <c:min val="62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467552"/>
        <c:crosses val="autoZero"/>
        <c:crossBetween val="between"/>
        <c:maj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2017 - 2018</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'AZ Cardinals'!$D$307</c:f>
              <c:strCache>
                <c:ptCount val="1"/>
                <c:pt idx="0">
                  <c:v>week</c:v>
                </c:pt>
              </c:strCache>
            </c:strRef>
          </c:tx>
          <c:spPr>
            <a:ln w="28575" cap="rnd">
              <a:solidFill>
                <a:schemeClr val="accent1"/>
              </a:solidFill>
              <a:round/>
            </a:ln>
            <a:effectLst/>
          </c:spPr>
          <c:marker>
            <c:symbol val="none"/>
          </c:marker>
          <c:cat>
            <c:strLit>
              <c:ptCount val="8"/>
              <c:pt idx="0">
                <c:v>3</c:v>
              </c:pt>
              <c:pt idx="1">
                <c:v>4</c:v>
              </c:pt>
              <c:pt idx="2">
                <c:v>6</c:v>
              </c:pt>
              <c:pt idx="3">
                <c:v>10</c:v>
              </c:pt>
              <c:pt idx="4">
                <c:v>12</c:v>
              </c:pt>
              <c:pt idx="5">
                <c:v>13</c:v>
              </c:pt>
              <c:pt idx="6">
                <c:v>14</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'AZ Cardinals'!$D$308:$D$324</c15:sqref>
                  </c15:fullRef>
                </c:ext>
              </c:extLst>
              <c:f>('AZ Cardinals'!$D$310:$D$311,'AZ Cardinals'!$D$313,'AZ Cardinals'!$D$317,'AZ Cardinals'!$D$319:$D$321,'AZ Cardinals'!$D$323)</c:f>
              <c:numCache>
                <c:formatCode>General</c:formatCode>
                <c:ptCount val="8"/>
                <c:pt idx="0">
                  <c:v>3</c:v>
                </c:pt>
                <c:pt idx="1">
                  <c:v>4</c:v>
                </c:pt>
                <c:pt idx="2">
                  <c:v>6</c:v>
                </c:pt>
                <c:pt idx="3">
                  <c:v>10</c:v>
                </c:pt>
                <c:pt idx="4">
                  <c:v>12</c:v>
                </c:pt>
                <c:pt idx="5">
                  <c:v>13</c:v>
                </c:pt>
                <c:pt idx="6">
                  <c:v>14</c:v>
                </c:pt>
                <c:pt idx="7">
                  <c:v>16</c:v>
                </c:pt>
              </c:numCache>
            </c:numRef>
          </c:val>
          <c:smooth val="0"/>
          <c:extLst>
            <c:ext xmlns:c16="http://schemas.microsoft.com/office/drawing/2014/chart" uri="{C3380CC4-5D6E-409C-BE32-E72D297353CC}">
              <c16:uniqueId val="{00000000-044F-454E-9CCB-B3F7839F4902}"/>
            </c:ext>
          </c:extLst>
        </c:ser>
        <c:ser>
          <c:idx val="1"/>
          <c:order val="1"/>
          <c:tx>
            <c:strRef>
              <c:f>'AZ Cardinals'!$E$307</c:f>
              <c:strCache>
                <c:ptCount val="1"/>
                <c:pt idx="0">
                  <c:v>weekly_attendance</c:v>
                </c:pt>
              </c:strCache>
            </c:strRef>
          </c:tx>
          <c:spPr>
            <a:ln w="28575" cap="rnd">
              <a:solidFill>
                <a:schemeClr val="accent2"/>
              </a:solidFill>
              <a:round/>
            </a:ln>
            <a:effectLst/>
          </c:spPr>
          <c:marker>
            <c:symbol val="none"/>
          </c:marker>
          <c:cat>
            <c:strLit>
              <c:ptCount val="8"/>
              <c:pt idx="0">
                <c:v>3</c:v>
              </c:pt>
              <c:pt idx="1">
                <c:v>4</c:v>
              </c:pt>
              <c:pt idx="2">
                <c:v>6</c:v>
              </c:pt>
              <c:pt idx="3">
                <c:v>10</c:v>
              </c:pt>
              <c:pt idx="4">
                <c:v>12</c:v>
              </c:pt>
              <c:pt idx="5">
                <c:v>13</c:v>
              </c:pt>
              <c:pt idx="6">
                <c:v>14</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'AZ Cardinals'!$E$308:$E$324</c15:sqref>
                  </c15:fullRef>
                </c:ext>
              </c:extLst>
              <c:f>('AZ Cardinals'!$E$310:$E$311,'AZ Cardinals'!$E$313,'AZ Cardinals'!$E$317,'AZ Cardinals'!$E$319:$E$321,'AZ Cardinals'!$E$323)</c:f>
              <c:numCache>
                <c:formatCode>General</c:formatCode>
                <c:ptCount val="8"/>
                <c:pt idx="0">
                  <c:v>65102</c:v>
                </c:pt>
                <c:pt idx="1">
                  <c:v>64121</c:v>
                </c:pt>
                <c:pt idx="2">
                  <c:v>63999</c:v>
                </c:pt>
                <c:pt idx="3">
                  <c:v>64639</c:v>
                </c:pt>
                <c:pt idx="4">
                  <c:v>63891</c:v>
                </c:pt>
                <c:pt idx="5">
                  <c:v>63986</c:v>
                </c:pt>
                <c:pt idx="6">
                  <c:v>64153</c:v>
                </c:pt>
                <c:pt idx="7">
                  <c:v>63850</c:v>
                </c:pt>
              </c:numCache>
            </c:numRef>
          </c:val>
          <c:smooth val="0"/>
          <c:extLst>
            <c:ext xmlns:c16="http://schemas.microsoft.com/office/drawing/2014/chart" uri="{C3380CC4-5D6E-409C-BE32-E72D297353CC}">
              <c16:uniqueId val="{00000001-044F-454E-9CCB-B3F7839F4902}"/>
            </c:ext>
          </c:extLst>
        </c:ser>
        <c:dLbls>
          <c:showLegendKey val="0"/>
          <c:showVal val="0"/>
          <c:showCatName val="0"/>
          <c:showSerName val="0"/>
          <c:showPercent val="0"/>
          <c:showBubbleSize val="0"/>
        </c:dLbls>
        <c:smooth val="0"/>
        <c:axId val="928410912"/>
        <c:axId val="928426272"/>
      </c:lineChart>
      <c:catAx>
        <c:axId val="9284109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426272"/>
        <c:crosses val="autoZero"/>
        <c:auto val="1"/>
        <c:lblAlgn val="ctr"/>
        <c:lblOffset val="100"/>
        <c:noMultiLvlLbl val="0"/>
      </c:catAx>
      <c:valAx>
        <c:axId val="928426272"/>
        <c:scaling>
          <c:orientation val="minMax"/>
          <c:max val="66000"/>
          <c:min val="62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410912"/>
        <c:crosses val="autoZero"/>
        <c:crossBetween val="between"/>
        <c:maj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2018 - 2019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'AZ Cardinals'!$D$325</c:f>
              <c:strCache>
                <c:ptCount val="1"/>
                <c:pt idx="0">
                  <c:v>week</c:v>
                </c:pt>
              </c:strCache>
            </c:strRef>
          </c:tx>
          <c:spPr>
            <a:ln w="28575" cap="rnd">
              <a:solidFill>
                <a:schemeClr val="accent1"/>
              </a:solidFill>
              <a:round/>
            </a:ln>
            <a:effectLst/>
          </c:spPr>
          <c:marker>
            <c:symbol val="none"/>
          </c:marker>
          <c:cat>
            <c:strLit>
              <c:ptCount val="8"/>
              <c:pt idx="0">
                <c:v>1</c:v>
              </c:pt>
              <c:pt idx="1">
                <c:v>3</c:v>
              </c:pt>
              <c:pt idx="2">
                <c:v>4</c:v>
              </c:pt>
              <c:pt idx="3">
                <c:v>7</c:v>
              </c:pt>
              <c:pt idx="4">
                <c:v>8</c:v>
              </c:pt>
              <c:pt idx="5">
                <c:v>11</c:v>
              </c:pt>
              <c:pt idx="6">
                <c:v>14</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'AZ Cardinals'!$D$326:$D$342</c15:sqref>
                  </c15:fullRef>
                </c:ext>
              </c:extLst>
              <c:f>('AZ Cardinals'!$D$326,'AZ Cardinals'!$D$328:$D$329,'AZ Cardinals'!$D$332:$D$333,'AZ Cardinals'!$D$336,'AZ Cardinals'!$D$339,'AZ Cardinals'!$D$341)</c:f>
              <c:numCache>
                <c:formatCode>General</c:formatCode>
                <c:ptCount val="8"/>
                <c:pt idx="0">
                  <c:v>1</c:v>
                </c:pt>
                <c:pt idx="1">
                  <c:v>3</c:v>
                </c:pt>
                <c:pt idx="2">
                  <c:v>4</c:v>
                </c:pt>
                <c:pt idx="3">
                  <c:v>7</c:v>
                </c:pt>
                <c:pt idx="4">
                  <c:v>8</c:v>
                </c:pt>
                <c:pt idx="5">
                  <c:v>11</c:v>
                </c:pt>
                <c:pt idx="6">
                  <c:v>14</c:v>
                </c:pt>
                <c:pt idx="7">
                  <c:v>16</c:v>
                </c:pt>
              </c:numCache>
            </c:numRef>
          </c:val>
          <c:smooth val="0"/>
          <c:extLst>
            <c:ext xmlns:c16="http://schemas.microsoft.com/office/drawing/2014/chart" uri="{C3380CC4-5D6E-409C-BE32-E72D297353CC}">
              <c16:uniqueId val="{00000000-DBA6-4B0C-9C4D-8BC1CD00D909}"/>
            </c:ext>
          </c:extLst>
        </c:ser>
        <c:ser>
          <c:idx val="1"/>
          <c:order val="1"/>
          <c:tx>
            <c:strRef>
              <c:f>'AZ Cardinals'!$E$325</c:f>
              <c:strCache>
                <c:ptCount val="1"/>
                <c:pt idx="0">
                  <c:v>weekly_attendance</c:v>
                </c:pt>
              </c:strCache>
            </c:strRef>
          </c:tx>
          <c:spPr>
            <a:ln w="28575" cap="rnd">
              <a:solidFill>
                <a:schemeClr val="accent2"/>
              </a:solidFill>
              <a:round/>
            </a:ln>
            <a:effectLst/>
          </c:spPr>
          <c:marker>
            <c:symbol val="none"/>
          </c:marker>
          <c:cat>
            <c:strLit>
              <c:ptCount val="8"/>
              <c:pt idx="0">
                <c:v>1</c:v>
              </c:pt>
              <c:pt idx="1">
                <c:v>3</c:v>
              </c:pt>
              <c:pt idx="2">
                <c:v>4</c:v>
              </c:pt>
              <c:pt idx="3">
                <c:v>7</c:v>
              </c:pt>
              <c:pt idx="4">
                <c:v>8</c:v>
              </c:pt>
              <c:pt idx="5">
                <c:v>11</c:v>
              </c:pt>
              <c:pt idx="6">
                <c:v>14</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'AZ Cardinals'!$E$326:$E$342</c15:sqref>
                  </c15:fullRef>
                </c:ext>
              </c:extLst>
              <c:f>('AZ Cardinals'!$E$326,'AZ Cardinals'!$E$328:$E$329,'AZ Cardinals'!$E$332:$E$333,'AZ Cardinals'!$E$336,'AZ Cardinals'!$E$339,'AZ Cardinals'!$E$341)</c:f>
              <c:numCache>
                <c:formatCode>General</c:formatCode>
                <c:ptCount val="8"/>
                <c:pt idx="0">
                  <c:v>61613</c:v>
                </c:pt>
                <c:pt idx="1">
                  <c:v>62163</c:v>
                </c:pt>
                <c:pt idx="2">
                  <c:v>61845</c:v>
                </c:pt>
                <c:pt idx="3">
                  <c:v>62359</c:v>
                </c:pt>
                <c:pt idx="4">
                  <c:v>61923</c:v>
                </c:pt>
                <c:pt idx="5">
                  <c:v>62435</c:v>
                </c:pt>
                <c:pt idx="6">
                  <c:v>62014</c:v>
                </c:pt>
                <c:pt idx="7">
                  <c:v>61759</c:v>
                </c:pt>
              </c:numCache>
            </c:numRef>
          </c:val>
          <c:smooth val="0"/>
          <c:extLst>
            <c:ext xmlns:c16="http://schemas.microsoft.com/office/drawing/2014/chart" uri="{C3380CC4-5D6E-409C-BE32-E72D297353CC}">
              <c16:uniqueId val="{00000001-DBA6-4B0C-9C4D-8BC1CD00D909}"/>
            </c:ext>
          </c:extLst>
        </c:ser>
        <c:dLbls>
          <c:showLegendKey val="0"/>
          <c:showVal val="0"/>
          <c:showCatName val="0"/>
          <c:showSerName val="0"/>
          <c:showPercent val="0"/>
          <c:showBubbleSize val="0"/>
        </c:dLbls>
        <c:smooth val="0"/>
        <c:axId val="928463232"/>
        <c:axId val="928462752"/>
      </c:lineChart>
      <c:catAx>
        <c:axId val="92846323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462752"/>
        <c:crosses val="autoZero"/>
        <c:auto val="1"/>
        <c:lblAlgn val="ctr"/>
        <c:lblOffset val="100"/>
        <c:noMultiLvlLbl val="0"/>
      </c:catAx>
      <c:valAx>
        <c:axId val="928462752"/>
        <c:scaling>
          <c:orientation val="minMax"/>
          <c:max val="66000"/>
          <c:min val="60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463232"/>
        <c:crosses val="autoZero"/>
        <c:crossBetween val="between"/>
        <c:maj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2019 - 2020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'AZ Cardinals'!$D$343</c:f>
              <c:strCache>
                <c:ptCount val="1"/>
                <c:pt idx="0">
                  <c:v>week</c:v>
                </c:pt>
              </c:strCache>
            </c:strRef>
          </c:tx>
          <c:spPr>
            <a:ln w="28575" cap="rnd">
              <a:solidFill>
                <a:schemeClr val="accent1"/>
              </a:solidFill>
              <a:round/>
            </a:ln>
            <a:effectLst/>
          </c:spPr>
          <c:marker>
            <c:symbol val="none"/>
          </c:marker>
          <c:cat>
            <c:strLit>
              <c:ptCount val="8"/>
              <c:pt idx="0">
                <c:v>1</c:v>
              </c:pt>
              <c:pt idx="1">
                <c:v>3</c:v>
              </c:pt>
              <c:pt idx="2">
                <c:v>4</c:v>
              </c:pt>
              <c:pt idx="3">
                <c:v>6</c:v>
              </c:pt>
              <c:pt idx="4">
                <c:v>9</c:v>
              </c:pt>
              <c:pt idx="5">
                <c:v>13</c:v>
              </c:pt>
              <c:pt idx="6">
                <c:v>14</c:v>
              </c:pt>
              <c:pt idx="7">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'AZ Cardinals'!$D$344:$D$360</c15:sqref>
                  </c15:fullRef>
                </c:ext>
              </c:extLst>
              <c:f>('AZ Cardinals'!$D$344,'AZ Cardinals'!$D$346:$D$347,'AZ Cardinals'!$D$349,'AZ Cardinals'!$D$352,'AZ Cardinals'!$D$356:$D$358)</c:f>
              <c:numCache>
                <c:formatCode>General</c:formatCode>
                <c:ptCount val="8"/>
                <c:pt idx="0">
                  <c:v>1</c:v>
                </c:pt>
                <c:pt idx="1">
                  <c:v>3</c:v>
                </c:pt>
                <c:pt idx="2">
                  <c:v>4</c:v>
                </c:pt>
                <c:pt idx="3">
                  <c:v>6</c:v>
                </c:pt>
                <c:pt idx="4">
                  <c:v>9</c:v>
                </c:pt>
                <c:pt idx="5">
                  <c:v>13</c:v>
                </c:pt>
                <c:pt idx="6">
                  <c:v>14</c:v>
                </c:pt>
                <c:pt idx="7">
                  <c:v>15</c:v>
                </c:pt>
              </c:numCache>
            </c:numRef>
          </c:val>
          <c:smooth val="0"/>
          <c:extLst>
            <c:ext xmlns:c16="http://schemas.microsoft.com/office/drawing/2014/chart" uri="{C3380CC4-5D6E-409C-BE32-E72D297353CC}">
              <c16:uniqueId val="{00000000-7E57-4296-96B1-EB1580DE78AD}"/>
            </c:ext>
          </c:extLst>
        </c:ser>
        <c:ser>
          <c:idx val="1"/>
          <c:order val="1"/>
          <c:tx>
            <c:strRef>
              <c:f>'AZ Cardinals'!$E$343</c:f>
              <c:strCache>
                <c:ptCount val="1"/>
                <c:pt idx="0">
                  <c:v>weekly_attendance</c:v>
                </c:pt>
              </c:strCache>
            </c:strRef>
          </c:tx>
          <c:spPr>
            <a:ln w="28575" cap="rnd">
              <a:solidFill>
                <a:schemeClr val="accent2"/>
              </a:solidFill>
              <a:round/>
            </a:ln>
            <a:effectLst/>
          </c:spPr>
          <c:marker>
            <c:symbol val="none"/>
          </c:marker>
          <c:cat>
            <c:strLit>
              <c:ptCount val="8"/>
              <c:pt idx="0">
                <c:v>1</c:v>
              </c:pt>
              <c:pt idx="1">
                <c:v>3</c:v>
              </c:pt>
              <c:pt idx="2">
                <c:v>4</c:v>
              </c:pt>
              <c:pt idx="3">
                <c:v>6</c:v>
              </c:pt>
              <c:pt idx="4">
                <c:v>9</c:v>
              </c:pt>
              <c:pt idx="5">
                <c:v>13</c:v>
              </c:pt>
              <c:pt idx="6">
                <c:v>14</c:v>
              </c:pt>
              <c:pt idx="7">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'AZ Cardinals'!$E$344:$E$360</c15:sqref>
                  </c15:fullRef>
                </c:ext>
              </c:extLst>
              <c:f>('AZ Cardinals'!$E$344,'AZ Cardinals'!$E$346:$E$347,'AZ Cardinals'!$E$349,'AZ Cardinals'!$E$352,'AZ Cardinals'!$E$356:$E$358)</c:f>
              <c:numCache>
                <c:formatCode>General</c:formatCode>
                <c:ptCount val="8"/>
                <c:pt idx="0">
                  <c:v>60687</c:v>
                </c:pt>
                <c:pt idx="1">
                  <c:v>60104</c:v>
                </c:pt>
                <c:pt idx="2">
                  <c:v>60500</c:v>
                </c:pt>
                <c:pt idx="3">
                  <c:v>60140</c:v>
                </c:pt>
                <c:pt idx="4">
                  <c:v>60986</c:v>
                </c:pt>
                <c:pt idx="5">
                  <c:v>60944</c:v>
                </c:pt>
                <c:pt idx="6">
                  <c:v>63880</c:v>
                </c:pt>
                <c:pt idx="7">
                  <c:v>63345</c:v>
                </c:pt>
              </c:numCache>
            </c:numRef>
          </c:val>
          <c:smooth val="0"/>
          <c:extLst>
            <c:ext xmlns:c16="http://schemas.microsoft.com/office/drawing/2014/chart" uri="{C3380CC4-5D6E-409C-BE32-E72D297353CC}">
              <c16:uniqueId val="{00000001-7E57-4296-96B1-EB1580DE78AD}"/>
            </c:ext>
          </c:extLst>
        </c:ser>
        <c:dLbls>
          <c:showLegendKey val="0"/>
          <c:showVal val="0"/>
          <c:showCatName val="0"/>
          <c:showSerName val="0"/>
          <c:showPercent val="0"/>
          <c:showBubbleSize val="0"/>
        </c:dLbls>
        <c:smooth val="0"/>
        <c:axId val="928436832"/>
        <c:axId val="928441632"/>
      </c:lineChart>
      <c:catAx>
        <c:axId val="92843683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441632"/>
        <c:crosses val="autoZero"/>
        <c:auto val="1"/>
        <c:lblAlgn val="ctr"/>
        <c:lblOffset val="100"/>
        <c:noMultiLvlLbl val="0"/>
      </c:catAx>
      <c:valAx>
        <c:axId val="928441632"/>
        <c:scaling>
          <c:orientation val="minMax"/>
          <c:min val="58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436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2000 - 2001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894653755077682"/>
          <c:y val="0.16928888888888893"/>
          <c:w val="0.88105346244922322"/>
          <c:h val="0.63038495188101484"/>
        </c:manualLayout>
      </c:layout>
      <c:lineChart>
        <c:grouping val="standard"/>
        <c:varyColors val="0"/>
        <c:ser>
          <c:idx val="0"/>
          <c:order val="0"/>
          <c:tx>
            <c:strRef>
              <c:f>'SEA Seahawks'!$D$1</c:f>
              <c:strCache>
                <c:ptCount val="1"/>
                <c:pt idx="0">
                  <c:v>week</c:v>
                </c:pt>
              </c:strCache>
            </c:strRef>
          </c:tx>
          <c:spPr>
            <a:ln w="28575" cap="rnd">
              <a:solidFill>
                <a:schemeClr val="accent1"/>
              </a:solidFill>
              <a:round/>
            </a:ln>
            <a:effectLst/>
          </c:spPr>
          <c:marker>
            <c:symbol val="none"/>
          </c:marker>
          <c:cat>
            <c:strLit>
              <c:ptCount val="8"/>
              <c:pt idx="0">
                <c:v>2</c:v>
              </c:pt>
              <c:pt idx="1">
                <c:v>3</c:v>
              </c:pt>
              <c:pt idx="2">
                <c:v>7</c:v>
              </c:pt>
              <c:pt idx="3">
                <c:v>9</c:v>
              </c:pt>
              <c:pt idx="4">
                <c:v>10</c:v>
              </c:pt>
              <c:pt idx="5">
                <c:v>13</c:v>
              </c:pt>
              <c:pt idx="6">
                <c:v>16</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'SEA Seahawks'!$D$2:$D$18</c15:sqref>
                  </c15:fullRef>
                </c:ext>
              </c:extLst>
              <c:f>('SEA Seahawks'!$D$3:$D$4,'SEA Seahawks'!$D$8,'SEA Seahawks'!$D$10:$D$11,'SEA Seahawks'!$D$14,'SEA Seahawks'!$D$17:$D$18)</c:f>
              <c:numCache>
                <c:formatCode>General</c:formatCode>
                <c:ptCount val="8"/>
                <c:pt idx="0">
                  <c:v>2</c:v>
                </c:pt>
                <c:pt idx="1">
                  <c:v>3</c:v>
                </c:pt>
                <c:pt idx="2">
                  <c:v>7</c:v>
                </c:pt>
                <c:pt idx="3">
                  <c:v>9</c:v>
                </c:pt>
                <c:pt idx="4">
                  <c:v>10</c:v>
                </c:pt>
                <c:pt idx="5">
                  <c:v>13</c:v>
                </c:pt>
                <c:pt idx="6">
                  <c:v>16</c:v>
                </c:pt>
                <c:pt idx="7">
                  <c:v>17</c:v>
                </c:pt>
              </c:numCache>
            </c:numRef>
          </c:val>
          <c:smooth val="0"/>
          <c:extLst>
            <c:ext xmlns:c16="http://schemas.microsoft.com/office/drawing/2014/chart" uri="{C3380CC4-5D6E-409C-BE32-E72D297353CC}">
              <c16:uniqueId val="{00000000-4632-4775-878A-354AAB657BBC}"/>
            </c:ext>
          </c:extLst>
        </c:ser>
        <c:ser>
          <c:idx val="1"/>
          <c:order val="1"/>
          <c:tx>
            <c:strRef>
              <c:f>'SEA Seahawks'!$E$1</c:f>
              <c:strCache>
                <c:ptCount val="1"/>
                <c:pt idx="0">
                  <c:v>weekly_attendance</c:v>
                </c:pt>
              </c:strCache>
            </c:strRef>
          </c:tx>
          <c:spPr>
            <a:ln w="28575" cap="rnd">
              <a:solidFill>
                <a:schemeClr val="accent2"/>
              </a:solidFill>
              <a:round/>
            </a:ln>
            <a:effectLst/>
          </c:spPr>
          <c:marker>
            <c:symbol val="none"/>
          </c:marker>
          <c:cat>
            <c:strLit>
              <c:ptCount val="8"/>
              <c:pt idx="0">
                <c:v>2</c:v>
              </c:pt>
              <c:pt idx="1">
                <c:v>3</c:v>
              </c:pt>
              <c:pt idx="2">
                <c:v>7</c:v>
              </c:pt>
              <c:pt idx="3">
                <c:v>9</c:v>
              </c:pt>
              <c:pt idx="4">
                <c:v>10</c:v>
              </c:pt>
              <c:pt idx="5">
                <c:v>13</c:v>
              </c:pt>
              <c:pt idx="6">
                <c:v>16</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'SEA Seahawks'!$E$2:$E$18</c15:sqref>
                  </c15:fullRef>
                </c:ext>
              </c:extLst>
              <c:f>('SEA Seahawks'!$E$3:$E$4,'SEA Seahawks'!$E$8,'SEA Seahawks'!$E$10:$E$11,'SEA Seahawks'!$E$14,'SEA Seahawks'!$E$17:$E$18)</c:f>
              <c:numCache>
                <c:formatCode>General</c:formatCode>
                <c:ptCount val="8"/>
                <c:pt idx="0">
                  <c:v>64869</c:v>
                </c:pt>
                <c:pt idx="1">
                  <c:v>59513</c:v>
                </c:pt>
                <c:pt idx="2">
                  <c:v>63593</c:v>
                </c:pt>
                <c:pt idx="3">
                  <c:v>62141</c:v>
                </c:pt>
                <c:pt idx="4">
                  <c:v>59884</c:v>
                </c:pt>
                <c:pt idx="5">
                  <c:v>68661</c:v>
                </c:pt>
                <c:pt idx="6">
                  <c:v>68681</c:v>
                </c:pt>
                <c:pt idx="7">
                  <c:v>61025</c:v>
                </c:pt>
              </c:numCache>
            </c:numRef>
          </c:val>
          <c:smooth val="0"/>
          <c:extLst>
            <c:ext xmlns:c16="http://schemas.microsoft.com/office/drawing/2014/chart" uri="{C3380CC4-5D6E-409C-BE32-E72D297353CC}">
              <c16:uniqueId val="{00000001-4632-4775-878A-354AAB657BBC}"/>
            </c:ext>
          </c:extLst>
        </c:ser>
        <c:dLbls>
          <c:showLegendKey val="0"/>
          <c:showVal val="0"/>
          <c:showCatName val="0"/>
          <c:showSerName val="0"/>
          <c:showPercent val="0"/>
          <c:showBubbleSize val="0"/>
        </c:dLbls>
        <c:smooth val="0"/>
        <c:axId val="928479552"/>
        <c:axId val="928480032"/>
      </c:lineChart>
      <c:catAx>
        <c:axId val="92847955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480032"/>
        <c:crosses val="autoZero"/>
        <c:auto val="1"/>
        <c:lblAlgn val="ctr"/>
        <c:lblOffset val="100"/>
        <c:noMultiLvlLbl val="0"/>
      </c:catAx>
      <c:valAx>
        <c:axId val="928480032"/>
        <c:scaling>
          <c:orientation val="minMax"/>
          <c:min val="59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479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2001 - 2002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'SEA Seahawks'!$D$19</c:f>
              <c:strCache>
                <c:ptCount val="1"/>
                <c:pt idx="0">
                  <c:v>week</c:v>
                </c:pt>
              </c:strCache>
            </c:strRef>
          </c:tx>
          <c:spPr>
            <a:ln w="28575" cap="rnd">
              <a:solidFill>
                <a:schemeClr val="accent1"/>
              </a:solidFill>
              <a:round/>
            </a:ln>
            <a:effectLst/>
          </c:spPr>
          <c:marker>
            <c:symbol val="none"/>
          </c:marker>
          <c:cat>
            <c:strLit>
              <c:ptCount val="8"/>
              <c:pt idx="0">
                <c:v>2</c:v>
              </c:pt>
              <c:pt idx="1">
                <c:v>4</c:v>
              </c:pt>
              <c:pt idx="2">
                <c:v>5</c:v>
              </c:pt>
              <c:pt idx="3">
                <c:v>7</c:v>
              </c:pt>
              <c:pt idx="4">
                <c:v>9</c:v>
              </c:pt>
              <c:pt idx="5">
                <c:v>12</c:v>
              </c:pt>
              <c:pt idx="6">
                <c:v>14</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'SEA Seahawks'!$D$20:$D$36</c15:sqref>
                  </c15:fullRef>
                </c:ext>
              </c:extLst>
              <c:f>('SEA Seahawks'!$D$21,'SEA Seahawks'!$D$23:$D$24,'SEA Seahawks'!$D$26,'SEA Seahawks'!$D$28,'SEA Seahawks'!$D$31,'SEA Seahawks'!$D$33,'SEA Seahawks'!$D$36)</c:f>
              <c:numCache>
                <c:formatCode>General</c:formatCode>
                <c:ptCount val="8"/>
                <c:pt idx="0">
                  <c:v>2</c:v>
                </c:pt>
                <c:pt idx="1">
                  <c:v>4</c:v>
                </c:pt>
                <c:pt idx="2">
                  <c:v>5</c:v>
                </c:pt>
                <c:pt idx="3">
                  <c:v>7</c:v>
                </c:pt>
                <c:pt idx="4">
                  <c:v>9</c:v>
                </c:pt>
                <c:pt idx="5">
                  <c:v>12</c:v>
                </c:pt>
                <c:pt idx="6">
                  <c:v>14</c:v>
                </c:pt>
                <c:pt idx="7">
                  <c:v>17</c:v>
                </c:pt>
              </c:numCache>
            </c:numRef>
          </c:val>
          <c:smooth val="0"/>
          <c:extLst>
            <c:ext xmlns:c16="http://schemas.microsoft.com/office/drawing/2014/chart" uri="{C3380CC4-5D6E-409C-BE32-E72D297353CC}">
              <c16:uniqueId val="{00000000-1C97-4607-B76F-F47117780A0B}"/>
            </c:ext>
          </c:extLst>
        </c:ser>
        <c:ser>
          <c:idx val="1"/>
          <c:order val="1"/>
          <c:tx>
            <c:strRef>
              <c:f>'SEA Seahawks'!$E$19</c:f>
              <c:strCache>
                <c:ptCount val="1"/>
                <c:pt idx="0">
                  <c:v>weekly_attendance</c:v>
                </c:pt>
              </c:strCache>
            </c:strRef>
          </c:tx>
          <c:spPr>
            <a:ln w="28575" cap="rnd">
              <a:solidFill>
                <a:schemeClr val="accent2"/>
              </a:solidFill>
              <a:round/>
            </a:ln>
            <a:effectLst/>
          </c:spPr>
          <c:marker>
            <c:symbol val="none"/>
          </c:marker>
          <c:cat>
            <c:strLit>
              <c:ptCount val="8"/>
              <c:pt idx="0">
                <c:v>2</c:v>
              </c:pt>
              <c:pt idx="1">
                <c:v>4</c:v>
              </c:pt>
              <c:pt idx="2">
                <c:v>5</c:v>
              </c:pt>
              <c:pt idx="3">
                <c:v>7</c:v>
              </c:pt>
              <c:pt idx="4">
                <c:v>9</c:v>
              </c:pt>
              <c:pt idx="5">
                <c:v>12</c:v>
              </c:pt>
              <c:pt idx="6">
                <c:v>14</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'SEA Seahawks'!$E$20:$E$36</c15:sqref>
                  </c15:fullRef>
                </c:ext>
              </c:extLst>
              <c:f>('SEA Seahawks'!$E$21,'SEA Seahawks'!$E$23:$E$24,'SEA Seahawks'!$E$26,'SEA Seahawks'!$E$28,'SEA Seahawks'!$E$31,'SEA Seahawks'!$E$33,'SEA Seahawks'!$E$36)</c:f>
              <c:numCache>
                <c:formatCode>General</c:formatCode>
                <c:ptCount val="8"/>
                <c:pt idx="0">
                  <c:v>62826</c:v>
                </c:pt>
                <c:pt idx="1">
                  <c:v>54524</c:v>
                </c:pt>
                <c:pt idx="2">
                  <c:v>61837</c:v>
                </c:pt>
                <c:pt idx="3">
                  <c:v>59108</c:v>
                </c:pt>
                <c:pt idx="4">
                  <c:v>67231</c:v>
                </c:pt>
                <c:pt idx="5">
                  <c:v>55466</c:v>
                </c:pt>
                <c:pt idx="6">
                  <c:v>63366</c:v>
                </c:pt>
                <c:pt idx="7">
                  <c:v>58460</c:v>
                </c:pt>
              </c:numCache>
            </c:numRef>
          </c:val>
          <c:smooth val="0"/>
          <c:extLst>
            <c:ext xmlns:c16="http://schemas.microsoft.com/office/drawing/2014/chart" uri="{C3380CC4-5D6E-409C-BE32-E72D297353CC}">
              <c16:uniqueId val="{00000001-1C97-4607-B76F-F47117780A0B}"/>
            </c:ext>
          </c:extLst>
        </c:ser>
        <c:dLbls>
          <c:showLegendKey val="0"/>
          <c:showVal val="0"/>
          <c:showCatName val="0"/>
          <c:showSerName val="0"/>
          <c:showPercent val="0"/>
          <c:showBubbleSize val="0"/>
        </c:dLbls>
        <c:smooth val="0"/>
        <c:axId val="928492032"/>
        <c:axId val="928504032"/>
      </c:lineChart>
      <c:catAx>
        <c:axId val="92849203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504032"/>
        <c:crosses val="autoZero"/>
        <c:auto val="1"/>
        <c:lblAlgn val="ctr"/>
        <c:lblOffset val="100"/>
        <c:noMultiLvlLbl val="0"/>
      </c:catAx>
      <c:valAx>
        <c:axId val="928504032"/>
        <c:scaling>
          <c:orientation val="minMax"/>
          <c:min val="53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492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2002 - 2003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'SEA Seahawks'!$D$37</c:f>
              <c:strCache>
                <c:ptCount val="1"/>
                <c:pt idx="0">
                  <c:v>week</c:v>
                </c:pt>
              </c:strCache>
            </c:strRef>
          </c:tx>
          <c:spPr>
            <a:ln w="28575" cap="rnd">
              <a:solidFill>
                <a:schemeClr val="accent1"/>
              </a:solidFill>
              <a:round/>
            </a:ln>
            <a:effectLst/>
          </c:spPr>
          <c:marker>
            <c:symbol val="none"/>
          </c:marker>
          <c:cat>
            <c:strLit>
              <c:ptCount val="8"/>
              <c:pt idx="0">
                <c:v>2</c:v>
              </c:pt>
              <c:pt idx="1">
                <c:v>4</c:v>
              </c:pt>
              <c:pt idx="2">
                <c:v>6</c:v>
              </c:pt>
              <c:pt idx="3">
                <c:v>9</c:v>
              </c:pt>
              <c:pt idx="4">
                <c:v>11</c:v>
              </c:pt>
              <c:pt idx="5">
                <c:v>12</c:v>
              </c:pt>
              <c:pt idx="6">
                <c:v>14</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'SEA Seahawks'!$D$38:$D$54</c15:sqref>
                  </c15:fullRef>
                </c:ext>
              </c:extLst>
              <c:f>('SEA Seahawks'!$D$39,'SEA Seahawks'!$D$41,'SEA Seahawks'!$D$43,'SEA Seahawks'!$D$46,'SEA Seahawks'!$D$48:$D$49,'SEA Seahawks'!$D$51,'SEA Seahawks'!$D$53)</c:f>
              <c:numCache>
                <c:formatCode>General</c:formatCode>
                <c:ptCount val="8"/>
                <c:pt idx="0">
                  <c:v>2</c:v>
                </c:pt>
                <c:pt idx="1">
                  <c:v>4</c:v>
                </c:pt>
                <c:pt idx="2">
                  <c:v>6</c:v>
                </c:pt>
                <c:pt idx="3">
                  <c:v>9</c:v>
                </c:pt>
                <c:pt idx="4">
                  <c:v>11</c:v>
                </c:pt>
                <c:pt idx="5">
                  <c:v>12</c:v>
                </c:pt>
                <c:pt idx="6">
                  <c:v>14</c:v>
                </c:pt>
                <c:pt idx="7">
                  <c:v>16</c:v>
                </c:pt>
              </c:numCache>
            </c:numRef>
          </c:val>
          <c:smooth val="0"/>
          <c:extLst>
            <c:ext xmlns:c16="http://schemas.microsoft.com/office/drawing/2014/chart" uri="{C3380CC4-5D6E-409C-BE32-E72D297353CC}">
              <c16:uniqueId val="{00000000-C735-4188-94AE-E675C3187313}"/>
            </c:ext>
          </c:extLst>
        </c:ser>
        <c:ser>
          <c:idx val="1"/>
          <c:order val="1"/>
          <c:tx>
            <c:strRef>
              <c:f>'SEA Seahawks'!$E$37</c:f>
              <c:strCache>
                <c:ptCount val="1"/>
                <c:pt idx="0">
                  <c:v>weekly_attendance</c:v>
                </c:pt>
              </c:strCache>
            </c:strRef>
          </c:tx>
          <c:spPr>
            <a:ln w="28575" cap="rnd">
              <a:solidFill>
                <a:schemeClr val="accent2"/>
              </a:solidFill>
              <a:round/>
            </a:ln>
            <a:effectLst/>
          </c:spPr>
          <c:marker>
            <c:symbol val="none"/>
          </c:marker>
          <c:cat>
            <c:strLit>
              <c:ptCount val="8"/>
              <c:pt idx="0">
                <c:v>2</c:v>
              </c:pt>
              <c:pt idx="1">
                <c:v>4</c:v>
              </c:pt>
              <c:pt idx="2">
                <c:v>6</c:v>
              </c:pt>
              <c:pt idx="3">
                <c:v>9</c:v>
              </c:pt>
              <c:pt idx="4">
                <c:v>11</c:v>
              </c:pt>
              <c:pt idx="5">
                <c:v>12</c:v>
              </c:pt>
              <c:pt idx="6">
                <c:v>14</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'SEA Seahawks'!$E$38:$E$54</c15:sqref>
                  </c15:fullRef>
                </c:ext>
              </c:extLst>
              <c:f>('SEA Seahawks'!$E$39,'SEA Seahawks'!$E$41,'SEA Seahawks'!$E$43,'SEA Seahawks'!$E$46,'SEA Seahawks'!$E$48:$E$49,'SEA Seahawks'!$E$51,'SEA Seahawks'!$E$53)</c:f>
              <c:numCache>
                <c:formatCode>General</c:formatCode>
                <c:ptCount val="8"/>
                <c:pt idx="0">
                  <c:v>63104</c:v>
                </c:pt>
                <c:pt idx="1">
                  <c:v>65212</c:v>
                </c:pt>
                <c:pt idx="2">
                  <c:v>66420</c:v>
                </c:pt>
                <c:pt idx="3">
                  <c:v>64325</c:v>
                </c:pt>
                <c:pt idx="4">
                  <c:v>65495</c:v>
                </c:pt>
                <c:pt idx="5">
                  <c:v>56250</c:v>
                </c:pt>
                <c:pt idx="6">
                  <c:v>59862</c:v>
                </c:pt>
                <c:pt idx="7">
                  <c:v>63953</c:v>
                </c:pt>
              </c:numCache>
            </c:numRef>
          </c:val>
          <c:smooth val="0"/>
          <c:extLst>
            <c:ext xmlns:c16="http://schemas.microsoft.com/office/drawing/2014/chart" uri="{C3380CC4-5D6E-409C-BE32-E72D297353CC}">
              <c16:uniqueId val="{00000001-C735-4188-94AE-E675C3187313}"/>
            </c:ext>
          </c:extLst>
        </c:ser>
        <c:dLbls>
          <c:showLegendKey val="0"/>
          <c:showVal val="0"/>
          <c:showCatName val="0"/>
          <c:showSerName val="0"/>
          <c:showPercent val="0"/>
          <c:showBubbleSize val="0"/>
        </c:dLbls>
        <c:smooth val="0"/>
        <c:axId val="928501152"/>
        <c:axId val="928503072"/>
      </c:lineChart>
      <c:catAx>
        <c:axId val="92850115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503072"/>
        <c:crosses val="autoZero"/>
        <c:auto val="1"/>
        <c:lblAlgn val="ctr"/>
        <c:lblOffset val="100"/>
        <c:noMultiLvlLbl val="0"/>
      </c:catAx>
      <c:valAx>
        <c:axId val="928503072"/>
        <c:scaling>
          <c:orientation val="minMax"/>
          <c:min val="56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501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2003 - 2004</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'SEA Seahawks'!$D$55</c:f>
              <c:strCache>
                <c:ptCount val="1"/>
                <c:pt idx="0">
                  <c:v>week</c:v>
                </c:pt>
              </c:strCache>
            </c:strRef>
          </c:tx>
          <c:spPr>
            <a:ln w="28575" cap="rnd">
              <a:solidFill>
                <a:schemeClr val="accent1"/>
              </a:solidFill>
              <a:round/>
            </a:ln>
            <a:effectLst/>
          </c:spPr>
          <c:marker>
            <c:symbol val="none"/>
          </c:marker>
          <c:cat>
            <c:strLit>
              <c:ptCount val="8"/>
              <c:pt idx="0">
                <c:v>1</c:v>
              </c:pt>
              <c:pt idx="1">
                <c:v>3</c:v>
              </c:pt>
              <c:pt idx="2">
                <c:v>6</c:v>
              </c:pt>
              <c:pt idx="3">
                <c:v>7</c:v>
              </c:pt>
              <c:pt idx="4">
                <c:v>9</c:v>
              </c:pt>
              <c:pt idx="5">
                <c:v>11</c:v>
              </c:pt>
              <c:pt idx="6">
                <c:v>13</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'SEA Seahawks'!$D$56:$D$72</c15:sqref>
                  </c15:fullRef>
                </c:ext>
              </c:extLst>
              <c:f>('SEA Seahawks'!$D$56,'SEA Seahawks'!$D$58,'SEA Seahawks'!$D$61:$D$62,'SEA Seahawks'!$D$64,'SEA Seahawks'!$D$66,'SEA Seahawks'!$D$68,'SEA Seahawks'!$D$71)</c:f>
              <c:numCache>
                <c:formatCode>General</c:formatCode>
                <c:ptCount val="8"/>
                <c:pt idx="0">
                  <c:v>1</c:v>
                </c:pt>
                <c:pt idx="1">
                  <c:v>3</c:v>
                </c:pt>
                <c:pt idx="2">
                  <c:v>6</c:v>
                </c:pt>
                <c:pt idx="3">
                  <c:v>7</c:v>
                </c:pt>
                <c:pt idx="4">
                  <c:v>9</c:v>
                </c:pt>
                <c:pt idx="5">
                  <c:v>11</c:v>
                </c:pt>
                <c:pt idx="6">
                  <c:v>13</c:v>
                </c:pt>
                <c:pt idx="7">
                  <c:v>16</c:v>
                </c:pt>
              </c:numCache>
            </c:numRef>
          </c:val>
          <c:smooth val="0"/>
          <c:extLst>
            <c:ext xmlns:c16="http://schemas.microsoft.com/office/drawing/2014/chart" uri="{C3380CC4-5D6E-409C-BE32-E72D297353CC}">
              <c16:uniqueId val="{00000000-06EF-4427-A144-F129D17E9370}"/>
            </c:ext>
          </c:extLst>
        </c:ser>
        <c:ser>
          <c:idx val="1"/>
          <c:order val="1"/>
          <c:tx>
            <c:strRef>
              <c:f>'SEA Seahawks'!$E$55</c:f>
              <c:strCache>
                <c:ptCount val="1"/>
                <c:pt idx="0">
                  <c:v>weekly_attendance</c:v>
                </c:pt>
              </c:strCache>
            </c:strRef>
          </c:tx>
          <c:spPr>
            <a:ln w="28575" cap="rnd">
              <a:solidFill>
                <a:schemeClr val="accent2"/>
              </a:solidFill>
              <a:round/>
            </a:ln>
            <a:effectLst/>
          </c:spPr>
          <c:marker>
            <c:symbol val="none"/>
          </c:marker>
          <c:cat>
            <c:strLit>
              <c:ptCount val="8"/>
              <c:pt idx="0">
                <c:v>1</c:v>
              </c:pt>
              <c:pt idx="1">
                <c:v>3</c:v>
              </c:pt>
              <c:pt idx="2">
                <c:v>6</c:v>
              </c:pt>
              <c:pt idx="3">
                <c:v>7</c:v>
              </c:pt>
              <c:pt idx="4">
                <c:v>9</c:v>
              </c:pt>
              <c:pt idx="5">
                <c:v>11</c:v>
              </c:pt>
              <c:pt idx="6">
                <c:v>13</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'SEA Seahawks'!$E$56:$E$72</c15:sqref>
                  </c15:fullRef>
                </c:ext>
              </c:extLst>
              <c:f>('SEA Seahawks'!$E$56,'SEA Seahawks'!$E$58,'SEA Seahawks'!$E$61:$E$62,'SEA Seahawks'!$E$64,'SEA Seahawks'!$E$66,'SEA Seahawks'!$E$68,'SEA Seahawks'!$E$71)</c:f>
              <c:numCache>
                <c:formatCode>General</c:formatCode>
                <c:ptCount val="8"/>
                <c:pt idx="0">
                  <c:v>52250</c:v>
                </c:pt>
                <c:pt idx="1">
                  <c:v>65841</c:v>
                </c:pt>
                <c:pt idx="2">
                  <c:v>66437</c:v>
                </c:pt>
                <c:pt idx="3">
                  <c:v>65671</c:v>
                </c:pt>
                <c:pt idx="4">
                  <c:v>66507</c:v>
                </c:pt>
                <c:pt idx="5">
                  <c:v>65865</c:v>
                </c:pt>
                <c:pt idx="6">
                  <c:v>64680</c:v>
                </c:pt>
                <c:pt idx="7">
                  <c:v>64899</c:v>
                </c:pt>
              </c:numCache>
            </c:numRef>
          </c:val>
          <c:smooth val="0"/>
          <c:extLst>
            <c:ext xmlns:c16="http://schemas.microsoft.com/office/drawing/2014/chart" uri="{C3380CC4-5D6E-409C-BE32-E72D297353CC}">
              <c16:uniqueId val="{00000001-06EF-4427-A144-F129D17E9370}"/>
            </c:ext>
          </c:extLst>
        </c:ser>
        <c:dLbls>
          <c:showLegendKey val="0"/>
          <c:showVal val="0"/>
          <c:showCatName val="0"/>
          <c:showSerName val="0"/>
          <c:showPercent val="0"/>
          <c:showBubbleSize val="0"/>
        </c:dLbls>
        <c:smooth val="0"/>
        <c:axId val="928401312"/>
        <c:axId val="928384992"/>
      </c:lineChart>
      <c:catAx>
        <c:axId val="9284013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384992"/>
        <c:crosses val="autoZero"/>
        <c:auto val="1"/>
        <c:lblAlgn val="ctr"/>
        <c:lblOffset val="100"/>
        <c:noMultiLvlLbl val="0"/>
      </c:catAx>
      <c:valAx>
        <c:axId val="928384992"/>
        <c:scaling>
          <c:orientation val="minMax"/>
          <c:min val="52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401312"/>
        <c:crosses val="autoZero"/>
        <c:crossBetween val="between"/>
        <c:majorUnit val="3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2004 - 2005</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'SEA Seahawks'!$D$73</c:f>
              <c:strCache>
                <c:ptCount val="1"/>
                <c:pt idx="0">
                  <c:v>week</c:v>
                </c:pt>
              </c:strCache>
            </c:strRef>
          </c:tx>
          <c:spPr>
            <a:ln w="28575" cap="rnd">
              <a:solidFill>
                <a:schemeClr val="accent1"/>
              </a:solidFill>
              <a:round/>
            </a:ln>
            <a:effectLst/>
          </c:spPr>
          <c:marker>
            <c:symbol val="none"/>
          </c:marker>
          <c:cat>
            <c:strLit>
              <c:ptCount val="8"/>
              <c:pt idx="0">
                <c:v>3</c:v>
              </c:pt>
              <c:pt idx="1">
                <c:v>5</c:v>
              </c:pt>
              <c:pt idx="2">
                <c:v>8</c:v>
              </c:pt>
              <c:pt idx="3">
                <c:v>11</c:v>
              </c:pt>
              <c:pt idx="4">
                <c:v>12</c:v>
              </c:pt>
              <c:pt idx="5">
                <c:v>13</c:v>
              </c:pt>
              <c:pt idx="6">
                <c:v>16</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'SEA Seahawks'!$D$74:$D$90</c15:sqref>
                  </c15:fullRef>
                </c:ext>
              </c:extLst>
              <c:f>('SEA Seahawks'!$D$76,'SEA Seahawks'!$D$78,'SEA Seahawks'!$D$81,'SEA Seahawks'!$D$84:$D$86,'SEA Seahawks'!$D$89:$D$90)</c:f>
              <c:numCache>
                <c:formatCode>General</c:formatCode>
                <c:ptCount val="8"/>
                <c:pt idx="0">
                  <c:v>3</c:v>
                </c:pt>
                <c:pt idx="1">
                  <c:v>5</c:v>
                </c:pt>
                <c:pt idx="2">
                  <c:v>8</c:v>
                </c:pt>
                <c:pt idx="3">
                  <c:v>11</c:v>
                </c:pt>
                <c:pt idx="4">
                  <c:v>12</c:v>
                </c:pt>
                <c:pt idx="5">
                  <c:v>13</c:v>
                </c:pt>
                <c:pt idx="6">
                  <c:v>16</c:v>
                </c:pt>
                <c:pt idx="7">
                  <c:v>17</c:v>
                </c:pt>
              </c:numCache>
            </c:numRef>
          </c:val>
          <c:smooth val="0"/>
          <c:extLst>
            <c:ext xmlns:c16="http://schemas.microsoft.com/office/drawing/2014/chart" uri="{C3380CC4-5D6E-409C-BE32-E72D297353CC}">
              <c16:uniqueId val="{00000000-45FE-4B14-A616-D4E6A6A8855D}"/>
            </c:ext>
          </c:extLst>
        </c:ser>
        <c:ser>
          <c:idx val="1"/>
          <c:order val="1"/>
          <c:tx>
            <c:strRef>
              <c:f>'SEA Seahawks'!$E$73</c:f>
              <c:strCache>
                <c:ptCount val="1"/>
                <c:pt idx="0">
                  <c:v>weekly_attendance</c:v>
                </c:pt>
              </c:strCache>
            </c:strRef>
          </c:tx>
          <c:spPr>
            <a:ln w="28575" cap="rnd">
              <a:solidFill>
                <a:schemeClr val="accent2"/>
              </a:solidFill>
              <a:round/>
            </a:ln>
            <a:effectLst/>
          </c:spPr>
          <c:marker>
            <c:symbol val="none"/>
          </c:marker>
          <c:cat>
            <c:strLit>
              <c:ptCount val="8"/>
              <c:pt idx="0">
                <c:v>3</c:v>
              </c:pt>
              <c:pt idx="1">
                <c:v>5</c:v>
              </c:pt>
              <c:pt idx="2">
                <c:v>8</c:v>
              </c:pt>
              <c:pt idx="3">
                <c:v>11</c:v>
              </c:pt>
              <c:pt idx="4">
                <c:v>12</c:v>
              </c:pt>
              <c:pt idx="5">
                <c:v>13</c:v>
              </c:pt>
              <c:pt idx="6">
                <c:v>16</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'SEA Seahawks'!$E$74:$E$90</c15:sqref>
                  </c15:fullRef>
                </c:ext>
              </c:extLst>
              <c:f>('SEA Seahawks'!$E$76,'SEA Seahawks'!$E$78,'SEA Seahawks'!$E$81,'SEA Seahawks'!$E$84:$E$86,'SEA Seahawks'!$E$89:$E$90)</c:f>
              <c:numCache>
                <c:formatCode>General</c:formatCode>
                <c:ptCount val="8"/>
                <c:pt idx="0">
                  <c:v>66709</c:v>
                </c:pt>
                <c:pt idx="1">
                  <c:v>66940</c:v>
                </c:pt>
                <c:pt idx="2">
                  <c:v>66214</c:v>
                </c:pt>
                <c:pt idx="3">
                  <c:v>66644</c:v>
                </c:pt>
                <c:pt idx="4">
                  <c:v>66271</c:v>
                </c:pt>
                <c:pt idx="5">
                  <c:v>68093</c:v>
                </c:pt>
                <c:pt idx="6">
                  <c:v>65825</c:v>
                </c:pt>
                <c:pt idx="7">
                  <c:v>66740</c:v>
                </c:pt>
              </c:numCache>
            </c:numRef>
          </c:val>
          <c:smooth val="0"/>
          <c:extLst>
            <c:ext xmlns:c16="http://schemas.microsoft.com/office/drawing/2014/chart" uri="{C3380CC4-5D6E-409C-BE32-E72D297353CC}">
              <c16:uniqueId val="{00000001-45FE-4B14-A616-D4E6A6A8855D}"/>
            </c:ext>
          </c:extLst>
        </c:ser>
        <c:dLbls>
          <c:showLegendKey val="0"/>
          <c:showVal val="0"/>
          <c:showCatName val="0"/>
          <c:showSerName val="0"/>
          <c:showPercent val="0"/>
          <c:showBubbleSize val="0"/>
        </c:dLbls>
        <c:smooth val="0"/>
        <c:axId val="928431552"/>
        <c:axId val="928432032"/>
      </c:lineChart>
      <c:catAx>
        <c:axId val="92843155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432032"/>
        <c:crosses val="autoZero"/>
        <c:auto val="1"/>
        <c:lblAlgn val="ctr"/>
        <c:lblOffset val="100"/>
        <c:noMultiLvlLbl val="0"/>
      </c:catAx>
      <c:valAx>
        <c:axId val="928432032"/>
        <c:scaling>
          <c:orientation val="minMax"/>
          <c:min val="65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431552"/>
        <c:crosses val="autoZero"/>
        <c:crossBetween val="between"/>
        <c:maj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2005 - 2006</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'SEA Seahawks'!$D$91</c:f>
              <c:strCache>
                <c:ptCount val="1"/>
                <c:pt idx="0">
                  <c:v>week</c:v>
                </c:pt>
              </c:strCache>
            </c:strRef>
          </c:tx>
          <c:spPr>
            <a:ln w="28575" cap="rnd">
              <a:solidFill>
                <a:schemeClr val="accent1"/>
              </a:solidFill>
              <a:round/>
            </a:ln>
            <a:effectLst/>
          </c:spPr>
          <c:marker>
            <c:symbol val="none"/>
          </c:marker>
          <c:cat>
            <c:strLit>
              <c:ptCount val="8"/>
              <c:pt idx="0">
                <c:v>2</c:v>
              </c:pt>
              <c:pt idx="1">
                <c:v>3</c:v>
              </c:pt>
              <c:pt idx="2">
                <c:v>6</c:v>
              </c:pt>
              <c:pt idx="3">
                <c:v>7</c:v>
              </c:pt>
              <c:pt idx="4">
                <c:v>10</c:v>
              </c:pt>
              <c:pt idx="5">
                <c:v>12</c:v>
              </c:pt>
              <c:pt idx="6">
                <c:v>14</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'SEA Seahawks'!$D$92:$D$108</c15:sqref>
                  </c15:fullRef>
                </c:ext>
              </c:extLst>
              <c:f>('SEA Seahawks'!$D$93:$D$94,'SEA Seahawks'!$D$97:$D$98,'SEA Seahawks'!$D$101,'SEA Seahawks'!$D$103,'SEA Seahawks'!$D$105,'SEA Seahawks'!$D$107)</c:f>
              <c:numCache>
                <c:formatCode>General</c:formatCode>
                <c:ptCount val="8"/>
                <c:pt idx="0">
                  <c:v>2</c:v>
                </c:pt>
                <c:pt idx="1">
                  <c:v>3</c:v>
                </c:pt>
                <c:pt idx="2">
                  <c:v>6</c:v>
                </c:pt>
                <c:pt idx="3">
                  <c:v>7</c:v>
                </c:pt>
                <c:pt idx="4">
                  <c:v>10</c:v>
                </c:pt>
                <c:pt idx="5">
                  <c:v>12</c:v>
                </c:pt>
                <c:pt idx="6">
                  <c:v>14</c:v>
                </c:pt>
                <c:pt idx="7">
                  <c:v>16</c:v>
                </c:pt>
              </c:numCache>
            </c:numRef>
          </c:val>
          <c:smooth val="0"/>
          <c:extLst>
            <c:ext xmlns:c16="http://schemas.microsoft.com/office/drawing/2014/chart" uri="{C3380CC4-5D6E-409C-BE32-E72D297353CC}">
              <c16:uniqueId val="{00000000-C84A-4848-B5DF-F296412B6293}"/>
            </c:ext>
          </c:extLst>
        </c:ser>
        <c:ser>
          <c:idx val="1"/>
          <c:order val="1"/>
          <c:tx>
            <c:strRef>
              <c:f>'SEA Seahawks'!$E$91</c:f>
              <c:strCache>
                <c:ptCount val="1"/>
                <c:pt idx="0">
                  <c:v>weekly_attendance</c:v>
                </c:pt>
              </c:strCache>
            </c:strRef>
          </c:tx>
          <c:spPr>
            <a:ln w="28575" cap="rnd">
              <a:solidFill>
                <a:schemeClr val="accent2"/>
              </a:solidFill>
              <a:round/>
            </a:ln>
            <a:effectLst/>
          </c:spPr>
          <c:marker>
            <c:symbol val="none"/>
          </c:marker>
          <c:cat>
            <c:strLit>
              <c:ptCount val="8"/>
              <c:pt idx="0">
                <c:v>2</c:v>
              </c:pt>
              <c:pt idx="1">
                <c:v>3</c:v>
              </c:pt>
              <c:pt idx="2">
                <c:v>6</c:v>
              </c:pt>
              <c:pt idx="3">
                <c:v>7</c:v>
              </c:pt>
              <c:pt idx="4">
                <c:v>10</c:v>
              </c:pt>
              <c:pt idx="5">
                <c:v>12</c:v>
              </c:pt>
              <c:pt idx="6">
                <c:v>14</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'SEA Seahawks'!$E$92:$E$108</c15:sqref>
                  </c15:fullRef>
                </c:ext>
              </c:extLst>
              <c:f>('SEA Seahawks'!$E$93:$E$94,'SEA Seahawks'!$E$97:$E$98,'SEA Seahawks'!$E$101,'SEA Seahawks'!$E$103,'SEA Seahawks'!$E$105,'SEA Seahawks'!$E$107)</c:f>
              <c:numCache>
                <c:formatCode>General</c:formatCode>
                <c:ptCount val="8"/>
                <c:pt idx="0">
                  <c:v>66030</c:v>
                </c:pt>
                <c:pt idx="1">
                  <c:v>64843</c:v>
                </c:pt>
                <c:pt idx="2">
                  <c:v>66196</c:v>
                </c:pt>
                <c:pt idx="3">
                  <c:v>67046</c:v>
                </c:pt>
                <c:pt idx="4">
                  <c:v>67192</c:v>
                </c:pt>
                <c:pt idx="5">
                  <c:v>67102</c:v>
                </c:pt>
                <c:pt idx="6">
                  <c:v>66690</c:v>
                </c:pt>
                <c:pt idx="7">
                  <c:v>67855</c:v>
                </c:pt>
              </c:numCache>
            </c:numRef>
          </c:val>
          <c:smooth val="0"/>
          <c:extLst>
            <c:ext xmlns:c16="http://schemas.microsoft.com/office/drawing/2014/chart" uri="{C3380CC4-5D6E-409C-BE32-E72D297353CC}">
              <c16:uniqueId val="{00000001-C84A-4848-B5DF-F296412B6293}"/>
            </c:ext>
          </c:extLst>
        </c:ser>
        <c:dLbls>
          <c:showLegendKey val="0"/>
          <c:showVal val="0"/>
          <c:showCatName val="0"/>
          <c:showSerName val="0"/>
          <c:showPercent val="0"/>
          <c:showBubbleSize val="0"/>
        </c:dLbls>
        <c:smooth val="0"/>
        <c:axId val="928452672"/>
        <c:axId val="928436352"/>
      </c:lineChart>
      <c:catAx>
        <c:axId val="92845267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436352"/>
        <c:crosses val="autoZero"/>
        <c:auto val="1"/>
        <c:lblAlgn val="ctr"/>
        <c:lblOffset val="100"/>
        <c:noMultiLvlLbl val="0"/>
      </c:catAx>
      <c:valAx>
        <c:axId val="928436352"/>
        <c:scaling>
          <c:orientation val="minMax"/>
          <c:min val="64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452672"/>
        <c:crosses val="autoZero"/>
        <c:crossBetween val="between"/>
        <c:maj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2006 - 2007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'SEA Seahawks'!$D$109</c:f>
              <c:strCache>
                <c:ptCount val="1"/>
                <c:pt idx="0">
                  <c:v>week</c:v>
                </c:pt>
              </c:strCache>
            </c:strRef>
          </c:tx>
          <c:spPr>
            <a:ln w="28575" cap="rnd">
              <a:solidFill>
                <a:schemeClr val="accent1"/>
              </a:solidFill>
              <a:round/>
            </a:ln>
            <a:effectLst/>
          </c:spPr>
          <c:marker>
            <c:symbol val="none"/>
          </c:marker>
          <c:cat>
            <c:strLit>
              <c:ptCount val="8"/>
              <c:pt idx="0">
                <c:v>2</c:v>
              </c:pt>
              <c:pt idx="1">
                <c:v>3</c:v>
              </c:pt>
              <c:pt idx="2">
                <c:v>7</c:v>
              </c:pt>
              <c:pt idx="3">
                <c:v>9</c:v>
              </c:pt>
              <c:pt idx="4">
                <c:v>10</c:v>
              </c:pt>
              <c:pt idx="5">
                <c:v>12</c:v>
              </c:pt>
              <c:pt idx="6">
                <c:v>15</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'SEA Seahawks'!$D$110:$D$126</c15:sqref>
                  </c15:fullRef>
                </c:ext>
              </c:extLst>
              <c:f>('SEA Seahawks'!$D$111:$D$112,'SEA Seahawks'!$D$116,'SEA Seahawks'!$D$118:$D$119,'SEA Seahawks'!$D$121,'SEA Seahawks'!$D$124:$D$125)</c:f>
              <c:numCache>
                <c:formatCode>General</c:formatCode>
                <c:ptCount val="8"/>
                <c:pt idx="0">
                  <c:v>2</c:v>
                </c:pt>
                <c:pt idx="1">
                  <c:v>3</c:v>
                </c:pt>
                <c:pt idx="2">
                  <c:v>7</c:v>
                </c:pt>
                <c:pt idx="3">
                  <c:v>9</c:v>
                </c:pt>
                <c:pt idx="4">
                  <c:v>10</c:v>
                </c:pt>
                <c:pt idx="5">
                  <c:v>12</c:v>
                </c:pt>
                <c:pt idx="6">
                  <c:v>15</c:v>
                </c:pt>
                <c:pt idx="7">
                  <c:v>16</c:v>
                </c:pt>
              </c:numCache>
            </c:numRef>
          </c:val>
          <c:smooth val="0"/>
          <c:extLst>
            <c:ext xmlns:c16="http://schemas.microsoft.com/office/drawing/2014/chart" uri="{C3380CC4-5D6E-409C-BE32-E72D297353CC}">
              <c16:uniqueId val="{00000000-C503-446E-944C-FB8644C05668}"/>
            </c:ext>
          </c:extLst>
        </c:ser>
        <c:ser>
          <c:idx val="1"/>
          <c:order val="1"/>
          <c:tx>
            <c:strRef>
              <c:f>'SEA Seahawks'!$E$109</c:f>
              <c:strCache>
                <c:ptCount val="1"/>
                <c:pt idx="0">
                  <c:v>weekly_attendance</c:v>
                </c:pt>
              </c:strCache>
            </c:strRef>
          </c:tx>
          <c:spPr>
            <a:ln w="28575" cap="rnd">
              <a:solidFill>
                <a:schemeClr val="accent2"/>
              </a:solidFill>
              <a:round/>
            </a:ln>
            <a:effectLst/>
          </c:spPr>
          <c:marker>
            <c:symbol val="none"/>
          </c:marker>
          <c:cat>
            <c:strLit>
              <c:ptCount val="8"/>
              <c:pt idx="0">
                <c:v>2</c:v>
              </c:pt>
              <c:pt idx="1">
                <c:v>3</c:v>
              </c:pt>
              <c:pt idx="2">
                <c:v>7</c:v>
              </c:pt>
              <c:pt idx="3">
                <c:v>9</c:v>
              </c:pt>
              <c:pt idx="4">
                <c:v>10</c:v>
              </c:pt>
              <c:pt idx="5">
                <c:v>12</c:v>
              </c:pt>
              <c:pt idx="6">
                <c:v>15</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'SEA Seahawks'!$E$110:$E$126</c15:sqref>
                  </c15:fullRef>
                </c:ext>
              </c:extLst>
              <c:f>('SEA Seahawks'!$E$111:$E$112,'SEA Seahawks'!$E$116,'SEA Seahawks'!$E$118:$E$119,'SEA Seahawks'!$E$121,'SEA Seahawks'!$E$124:$E$125)</c:f>
              <c:numCache>
                <c:formatCode>General</c:formatCode>
                <c:ptCount val="8"/>
                <c:pt idx="0">
                  <c:v>67470</c:v>
                </c:pt>
                <c:pt idx="1">
                  <c:v>68161</c:v>
                </c:pt>
                <c:pt idx="2">
                  <c:v>68118</c:v>
                </c:pt>
                <c:pt idx="3">
                  <c:v>67816</c:v>
                </c:pt>
                <c:pt idx="4">
                  <c:v>68175</c:v>
                </c:pt>
                <c:pt idx="5">
                  <c:v>68256</c:v>
                </c:pt>
                <c:pt idx="6">
                  <c:v>67650</c:v>
                </c:pt>
                <c:pt idx="7">
                  <c:v>68174</c:v>
                </c:pt>
              </c:numCache>
            </c:numRef>
          </c:val>
          <c:smooth val="0"/>
          <c:extLst>
            <c:ext xmlns:c16="http://schemas.microsoft.com/office/drawing/2014/chart" uri="{C3380CC4-5D6E-409C-BE32-E72D297353CC}">
              <c16:uniqueId val="{00000001-C503-446E-944C-FB8644C05668}"/>
            </c:ext>
          </c:extLst>
        </c:ser>
        <c:dLbls>
          <c:showLegendKey val="0"/>
          <c:showVal val="0"/>
          <c:showCatName val="0"/>
          <c:showSerName val="0"/>
          <c:showPercent val="0"/>
          <c:showBubbleSize val="0"/>
        </c:dLbls>
        <c:smooth val="0"/>
        <c:axId val="928374912"/>
        <c:axId val="928377792"/>
      </c:lineChart>
      <c:catAx>
        <c:axId val="9283749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377792"/>
        <c:crosses val="autoZero"/>
        <c:auto val="1"/>
        <c:lblAlgn val="ctr"/>
        <c:lblOffset val="100"/>
        <c:noMultiLvlLbl val="0"/>
      </c:catAx>
      <c:valAx>
        <c:axId val="928377792"/>
        <c:scaling>
          <c:orientation val="minMax"/>
          <c:max val="69000"/>
          <c:min val="67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374912"/>
        <c:crosses val="autoZero"/>
        <c:crossBetween val="between"/>
        <c:majorUnit val="5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2007 - 2008</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'SEA Seahawks'!$D$127</c:f>
              <c:strCache>
                <c:ptCount val="1"/>
                <c:pt idx="0">
                  <c:v>week</c:v>
                </c:pt>
              </c:strCache>
            </c:strRef>
          </c:tx>
          <c:spPr>
            <a:ln w="28575" cap="rnd">
              <a:solidFill>
                <a:schemeClr val="accent1"/>
              </a:solidFill>
              <a:round/>
            </a:ln>
            <a:effectLst/>
          </c:spPr>
          <c:marker>
            <c:symbol val="none"/>
          </c:marker>
          <c:cat>
            <c:strLit>
              <c:ptCount val="8"/>
              <c:pt idx="0">
                <c:v>1</c:v>
              </c:pt>
              <c:pt idx="1">
                <c:v>3</c:v>
              </c:pt>
              <c:pt idx="2">
                <c:v>6</c:v>
              </c:pt>
              <c:pt idx="3">
                <c:v>7</c:v>
              </c:pt>
              <c:pt idx="4">
                <c:v>10</c:v>
              </c:pt>
              <c:pt idx="5">
                <c:v>11</c:v>
              </c:pt>
              <c:pt idx="6">
                <c:v>14</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'SEA Seahawks'!$D$128:$D$144</c15:sqref>
                  </c15:fullRef>
                </c:ext>
              </c:extLst>
              <c:f>('SEA Seahawks'!$D$128,'SEA Seahawks'!$D$130,'SEA Seahawks'!$D$133:$D$134,'SEA Seahawks'!$D$137:$D$138,'SEA Seahawks'!$D$141,'SEA Seahawks'!$D$143)</c:f>
              <c:numCache>
                <c:formatCode>General</c:formatCode>
                <c:ptCount val="8"/>
                <c:pt idx="0">
                  <c:v>1</c:v>
                </c:pt>
                <c:pt idx="1">
                  <c:v>3</c:v>
                </c:pt>
                <c:pt idx="2">
                  <c:v>6</c:v>
                </c:pt>
                <c:pt idx="3">
                  <c:v>7</c:v>
                </c:pt>
                <c:pt idx="4">
                  <c:v>10</c:v>
                </c:pt>
                <c:pt idx="5">
                  <c:v>11</c:v>
                </c:pt>
                <c:pt idx="6">
                  <c:v>14</c:v>
                </c:pt>
                <c:pt idx="7">
                  <c:v>16</c:v>
                </c:pt>
              </c:numCache>
            </c:numRef>
          </c:val>
          <c:smooth val="0"/>
          <c:extLst>
            <c:ext xmlns:c16="http://schemas.microsoft.com/office/drawing/2014/chart" uri="{C3380CC4-5D6E-409C-BE32-E72D297353CC}">
              <c16:uniqueId val="{00000000-72E0-4159-899F-79FF24DB35E2}"/>
            </c:ext>
          </c:extLst>
        </c:ser>
        <c:ser>
          <c:idx val="1"/>
          <c:order val="1"/>
          <c:tx>
            <c:strRef>
              <c:f>'SEA Seahawks'!$E$127</c:f>
              <c:strCache>
                <c:ptCount val="1"/>
                <c:pt idx="0">
                  <c:v>weekly_attendance</c:v>
                </c:pt>
              </c:strCache>
            </c:strRef>
          </c:tx>
          <c:spPr>
            <a:ln w="28575" cap="rnd">
              <a:solidFill>
                <a:schemeClr val="accent2"/>
              </a:solidFill>
              <a:round/>
            </a:ln>
            <a:effectLst/>
          </c:spPr>
          <c:marker>
            <c:symbol val="none"/>
          </c:marker>
          <c:cat>
            <c:strLit>
              <c:ptCount val="8"/>
              <c:pt idx="0">
                <c:v>1</c:v>
              </c:pt>
              <c:pt idx="1">
                <c:v>3</c:v>
              </c:pt>
              <c:pt idx="2">
                <c:v>6</c:v>
              </c:pt>
              <c:pt idx="3">
                <c:v>7</c:v>
              </c:pt>
              <c:pt idx="4">
                <c:v>10</c:v>
              </c:pt>
              <c:pt idx="5">
                <c:v>11</c:v>
              </c:pt>
              <c:pt idx="6">
                <c:v>14</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'SEA Seahawks'!$E$128:$E$144</c15:sqref>
                  </c15:fullRef>
                </c:ext>
              </c:extLst>
              <c:f>('SEA Seahawks'!$E$128,'SEA Seahawks'!$E$130,'SEA Seahawks'!$E$133:$E$134,'SEA Seahawks'!$E$137:$E$138,'SEA Seahawks'!$E$141,'SEA Seahawks'!$E$143)</c:f>
              <c:numCache>
                <c:formatCode>General</c:formatCode>
                <c:ptCount val="8"/>
                <c:pt idx="0">
                  <c:v>68044</c:v>
                </c:pt>
                <c:pt idx="1">
                  <c:v>68110</c:v>
                </c:pt>
                <c:pt idx="2">
                  <c:v>68296</c:v>
                </c:pt>
                <c:pt idx="3">
                  <c:v>68164</c:v>
                </c:pt>
                <c:pt idx="4">
                  <c:v>68331</c:v>
                </c:pt>
                <c:pt idx="5">
                  <c:v>68249</c:v>
                </c:pt>
                <c:pt idx="6">
                  <c:v>68193</c:v>
                </c:pt>
                <c:pt idx="7">
                  <c:v>68164</c:v>
                </c:pt>
              </c:numCache>
            </c:numRef>
          </c:val>
          <c:smooth val="0"/>
          <c:extLst>
            <c:ext xmlns:c16="http://schemas.microsoft.com/office/drawing/2014/chart" uri="{C3380CC4-5D6E-409C-BE32-E72D297353CC}">
              <c16:uniqueId val="{00000001-72E0-4159-899F-79FF24DB35E2}"/>
            </c:ext>
          </c:extLst>
        </c:ser>
        <c:dLbls>
          <c:showLegendKey val="0"/>
          <c:showVal val="0"/>
          <c:showCatName val="0"/>
          <c:showSerName val="0"/>
          <c:showPercent val="0"/>
          <c:showBubbleSize val="0"/>
        </c:dLbls>
        <c:smooth val="0"/>
        <c:axId val="928411872"/>
        <c:axId val="928408032"/>
      </c:lineChart>
      <c:catAx>
        <c:axId val="92841187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408032"/>
        <c:crosses val="autoZero"/>
        <c:auto val="1"/>
        <c:lblAlgn val="ctr"/>
        <c:lblOffset val="100"/>
        <c:noMultiLvlLbl val="0"/>
      </c:catAx>
      <c:valAx>
        <c:axId val="928408032"/>
        <c:scaling>
          <c:orientation val="minMax"/>
          <c:min val="66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411872"/>
        <c:crosses val="autoZero"/>
        <c:crossBetween val="between"/>
        <c:maj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2008 - 2009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'SEA Seahawks'!$D$145</c:f>
              <c:strCache>
                <c:ptCount val="1"/>
                <c:pt idx="0">
                  <c:v>week</c:v>
                </c:pt>
              </c:strCache>
            </c:strRef>
          </c:tx>
          <c:spPr>
            <a:ln w="28575" cap="rnd">
              <a:solidFill>
                <a:schemeClr val="accent1"/>
              </a:solidFill>
              <a:round/>
            </a:ln>
            <a:effectLst/>
          </c:spPr>
          <c:marker>
            <c:symbol val="none"/>
          </c:marker>
          <c:cat>
            <c:strLit>
              <c:ptCount val="8"/>
              <c:pt idx="0">
                <c:v>2</c:v>
              </c:pt>
              <c:pt idx="1">
                <c:v>3</c:v>
              </c:pt>
              <c:pt idx="2">
                <c:v>6</c:v>
              </c:pt>
              <c:pt idx="3">
                <c:v>9</c:v>
              </c:pt>
              <c:pt idx="4">
                <c:v>11</c:v>
              </c:pt>
              <c:pt idx="5">
                <c:v>12</c:v>
              </c:pt>
              <c:pt idx="6">
                <c:v>14</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'SEA Seahawks'!$D$146:$D$162</c15:sqref>
                  </c15:fullRef>
                </c:ext>
              </c:extLst>
              <c:f>('SEA Seahawks'!$D$147:$D$148,'SEA Seahawks'!$D$151,'SEA Seahawks'!$D$154,'SEA Seahawks'!$D$156:$D$157,'SEA Seahawks'!$D$159,'SEA Seahawks'!$D$161)</c:f>
              <c:numCache>
                <c:formatCode>General</c:formatCode>
                <c:ptCount val="8"/>
                <c:pt idx="0">
                  <c:v>2</c:v>
                </c:pt>
                <c:pt idx="1">
                  <c:v>3</c:v>
                </c:pt>
                <c:pt idx="2">
                  <c:v>6</c:v>
                </c:pt>
                <c:pt idx="3">
                  <c:v>9</c:v>
                </c:pt>
                <c:pt idx="4">
                  <c:v>11</c:v>
                </c:pt>
                <c:pt idx="5">
                  <c:v>12</c:v>
                </c:pt>
                <c:pt idx="6">
                  <c:v>14</c:v>
                </c:pt>
                <c:pt idx="7">
                  <c:v>16</c:v>
                </c:pt>
              </c:numCache>
            </c:numRef>
          </c:val>
          <c:smooth val="0"/>
          <c:extLst>
            <c:ext xmlns:c16="http://schemas.microsoft.com/office/drawing/2014/chart" uri="{C3380CC4-5D6E-409C-BE32-E72D297353CC}">
              <c16:uniqueId val="{00000000-4768-4291-B417-A8ADD2D907B1}"/>
            </c:ext>
          </c:extLst>
        </c:ser>
        <c:ser>
          <c:idx val="1"/>
          <c:order val="1"/>
          <c:tx>
            <c:strRef>
              <c:f>'SEA Seahawks'!$E$145</c:f>
              <c:strCache>
                <c:ptCount val="1"/>
                <c:pt idx="0">
                  <c:v>weekly_attendance</c:v>
                </c:pt>
              </c:strCache>
            </c:strRef>
          </c:tx>
          <c:spPr>
            <a:ln w="28575" cap="rnd">
              <a:solidFill>
                <a:schemeClr val="accent2"/>
              </a:solidFill>
              <a:round/>
            </a:ln>
            <a:effectLst/>
          </c:spPr>
          <c:marker>
            <c:symbol val="none"/>
          </c:marker>
          <c:cat>
            <c:strLit>
              <c:ptCount val="8"/>
              <c:pt idx="0">
                <c:v>2</c:v>
              </c:pt>
              <c:pt idx="1">
                <c:v>3</c:v>
              </c:pt>
              <c:pt idx="2">
                <c:v>6</c:v>
              </c:pt>
              <c:pt idx="3">
                <c:v>9</c:v>
              </c:pt>
              <c:pt idx="4">
                <c:v>11</c:v>
              </c:pt>
              <c:pt idx="5">
                <c:v>12</c:v>
              </c:pt>
              <c:pt idx="6">
                <c:v>14</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'SEA Seahawks'!$E$146:$E$162</c15:sqref>
                  </c15:fullRef>
                </c:ext>
              </c:extLst>
              <c:f>('SEA Seahawks'!$E$147:$E$148,'SEA Seahawks'!$E$151,'SEA Seahawks'!$E$154,'SEA Seahawks'!$E$156:$E$157,'SEA Seahawks'!$E$159,'SEA Seahawks'!$E$161)</c:f>
              <c:numCache>
                <c:formatCode>General</c:formatCode>
                <c:ptCount val="8"/>
                <c:pt idx="0">
                  <c:v>67951</c:v>
                </c:pt>
                <c:pt idx="1">
                  <c:v>68012</c:v>
                </c:pt>
                <c:pt idx="2">
                  <c:v>68302</c:v>
                </c:pt>
                <c:pt idx="3">
                  <c:v>68055</c:v>
                </c:pt>
                <c:pt idx="4">
                  <c:v>67616</c:v>
                </c:pt>
                <c:pt idx="5">
                  <c:v>67771</c:v>
                </c:pt>
                <c:pt idx="6">
                  <c:v>68077</c:v>
                </c:pt>
                <c:pt idx="7">
                  <c:v>68181</c:v>
                </c:pt>
              </c:numCache>
            </c:numRef>
          </c:val>
          <c:smooth val="0"/>
          <c:extLst>
            <c:ext xmlns:c16="http://schemas.microsoft.com/office/drawing/2014/chart" uri="{C3380CC4-5D6E-409C-BE32-E72D297353CC}">
              <c16:uniqueId val="{00000001-4768-4291-B417-A8ADD2D907B1}"/>
            </c:ext>
          </c:extLst>
        </c:ser>
        <c:dLbls>
          <c:showLegendKey val="0"/>
          <c:showVal val="0"/>
          <c:showCatName val="0"/>
          <c:showSerName val="0"/>
          <c:showPercent val="0"/>
          <c:showBubbleSize val="0"/>
        </c:dLbls>
        <c:smooth val="0"/>
        <c:axId val="1055918848"/>
        <c:axId val="1055917888"/>
      </c:lineChart>
      <c:catAx>
        <c:axId val="105591884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5917888"/>
        <c:crosses val="autoZero"/>
        <c:auto val="1"/>
        <c:lblAlgn val="ctr"/>
        <c:lblOffset val="100"/>
        <c:noMultiLvlLbl val="0"/>
      </c:catAx>
      <c:valAx>
        <c:axId val="1055917888"/>
        <c:scaling>
          <c:orientation val="minMax"/>
          <c:max val="69000"/>
          <c:min val="66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5918848"/>
        <c:crosses val="autoZero"/>
        <c:crossBetween val="between"/>
        <c:maj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2009 - 2010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'SEA Seahawks'!$D$163</c:f>
              <c:strCache>
                <c:ptCount val="1"/>
                <c:pt idx="0">
                  <c:v>week</c:v>
                </c:pt>
              </c:strCache>
            </c:strRef>
          </c:tx>
          <c:spPr>
            <a:ln w="28575" cap="rnd">
              <a:solidFill>
                <a:schemeClr val="accent1"/>
              </a:solidFill>
              <a:round/>
            </a:ln>
            <a:effectLst/>
          </c:spPr>
          <c:marker>
            <c:symbol val="none"/>
          </c:marker>
          <c:cat>
            <c:strLit>
              <c:ptCount val="8"/>
              <c:pt idx="0">
                <c:v>1</c:v>
              </c:pt>
              <c:pt idx="1">
                <c:v>3</c:v>
              </c:pt>
              <c:pt idx="2">
                <c:v>5</c:v>
              </c:pt>
              <c:pt idx="3">
                <c:v>6</c:v>
              </c:pt>
              <c:pt idx="4">
                <c:v>9</c:v>
              </c:pt>
              <c:pt idx="5">
                <c:v>13</c:v>
              </c:pt>
              <c:pt idx="6">
                <c:v>15</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'SEA Seahawks'!$D$164:$D$180</c15:sqref>
                  </c15:fullRef>
                </c:ext>
              </c:extLst>
              <c:f>('SEA Seahawks'!$D$164,'SEA Seahawks'!$D$166,'SEA Seahawks'!$D$168:$D$169,'SEA Seahawks'!$D$172,'SEA Seahawks'!$D$176,'SEA Seahawks'!$D$178,'SEA Seahawks'!$D$180)</c:f>
              <c:numCache>
                <c:formatCode>General</c:formatCode>
                <c:ptCount val="8"/>
                <c:pt idx="0">
                  <c:v>1</c:v>
                </c:pt>
                <c:pt idx="1">
                  <c:v>3</c:v>
                </c:pt>
                <c:pt idx="2">
                  <c:v>5</c:v>
                </c:pt>
                <c:pt idx="3">
                  <c:v>6</c:v>
                </c:pt>
                <c:pt idx="4">
                  <c:v>9</c:v>
                </c:pt>
                <c:pt idx="5">
                  <c:v>13</c:v>
                </c:pt>
                <c:pt idx="6">
                  <c:v>15</c:v>
                </c:pt>
                <c:pt idx="7">
                  <c:v>17</c:v>
                </c:pt>
              </c:numCache>
            </c:numRef>
          </c:val>
          <c:smooth val="0"/>
          <c:extLst>
            <c:ext xmlns:c16="http://schemas.microsoft.com/office/drawing/2014/chart" uri="{C3380CC4-5D6E-409C-BE32-E72D297353CC}">
              <c16:uniqueId val="{00000000-106B-4FE3-858A-7115EE2CC433}"/>
            </c:ext>
          </c:extLst>
        </c:ser>
        <c:ser>
          <c:idx val="1"/>
          <c:order val="1"/>
          <c:tx>
            <c:strRef>
              <c:f>'SEA Seahawks'!$E$163</c:f>
              <c:strCache>
                <c:ptCount val="1"/>
                <c:pt idx="0">
                  <c:v>weekly_attendance</c:v>
                </c:pt>
              </c:strCache>
            </c:strRef>
          </c:tx>
          <c:spPr>
            <a:ln w="28575" cap="rnd">
              <a:solidFill>
                <a:schemeClr val="accent2"/>
              </a:solidFill>
              <a:round/>
            </a:ln>
            <a:effectLst/>
          </c:spPr>
          <c:marker>
            <c:symbol val="none"/>
          </c:marker>
          <c:cat>
            <c:strLit>
              <c:ptCount val="8"/>
              <c:pt idx="0">
                <c:v>1</c:v>
              </c:pt>
              <c:pt idx="1">
                <c:v>3</c:v>
              </c:pt>
              <c:pt idx="2">
                <c:v>5</c:v>
              </c:pt>
              <c:pt idx="3">
                <c:v>6</c:v>
              </c:pt>
              <c:pt idx="4">
                <c:v>9</c:v>
              </c:pt>
              <c:pt idx="5">
                <c:v>13</c:v>
              </c:pt>
              <c:pt idx="6">
                <c:v>15</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'SEA Seahawks'!$E$164:$E$180</c15:sqref>
                  </c15:fullRef>
                </c:ext>
              </c:extLst>
              <c:f>('SEA Seahawks'!$E$164,'SEA Seahawks'!$E$166,'SEA Seahawks'!$E$168:$E$169,'SEA Seahawks'!$E$172,'SEA Seahawks'!$E$176,'SEA Seahawks'!$E$178,'SEA Seahawks'!$E$180)</c:f>
              <c:numCache>
                <c:formatCode>General</c:formatCode>
                <c:ptCount val="8"/>
                <c:pt idx="0">
                  <c:v>67610</c:v>
                </c:pt>
                <c:pt idx="1">
                  <c:v>67938</c:v>
                </c:pt>
                <c:pt idx="2">
                  <c:v>67228</c:v>
                </c:pt>
                <c:pt idx="3">
                  <c:v>67588</c:v>
                </c:pt>
                <c:pt idx="4">
                  <c:v>67003</c:v>
                </c:pt>
                <c:pt idx="5">
                  <c:v>67761</c:v>
                </c:pt>
                <c:pt idx="6">
                  <c:v>67011</c:v>
                </c:pt>
                <c:pt idx="7">
                  <c:v>67002</c:v>
                </c:pt>
              </c:numCache>
            </c:numRef>
          </c:val>
          <c:smooth val="0"/>
          <c:extLst>
            <c:ext xmlns:c16="http://schemas.microsoft.com/office/drawing/2014/chart" uri="{C3380CC4-5D6E-409C-BE32-E72D297353CC}">
              <c16:uniqueId val="{00000001-106B-4FE3-858A-7115EE2CC433}"/>
            </c:ext>
          </c:extLst>
        </c:ser>
        <c:dLbls>
          <c:showLegendKey val="0"/>
          <c:showVal val="0"/>
          <c:showCatName val="0"/>
          <c:showSerName val="0"/>
          <c:showPercent val="0"/>
          <c:showBubbleSize val="0"/>
        </c:dLbls>
        <c:smooth val="0"/>
        <c:axId val="1055884768"/>
        <c:axId val="1055886688"/>
      </c:lineChart>
      <c:catAx>
        <c:axId val="10558847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5886688"/>
        <c:crosses val="autoZero"/>
        <c:auto val="1"/>
        <c:lblAlgn val="ctr"/>
        <c:lblOffset val="100"/>
        <c:noMultiLvlLbl val="0"/>
      </c:catAx>
      <c:valAx>
        <c:axId val="1055886688"/>
        <c:scaling>
          <c:orientation val="minMax"/>
          <c:min val="66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5884768"/>
        <c:crosses val="autoZero"/>
        <c:crossBetween val="between"/>
        <c:maj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2010 - 2011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'SEA Seahawks'!$D$181</c:f>
              <c:strCache>
                <c:ptCount val="1"/>
                <c:pt idx="0">
                  <c:v>week</c:v>
                </c:pt>
              </c:strCache>
            </c:strRef>
          </c:tx>
          <c:spPr>
            <a:ln w="28575" cap="rnd">
              <a:solidFill>
                <a:schemeClr val="accent1"/>
              </a:solidFill>
              <a:round/>
            </a:ln>
            <a:effectLst/>
          </c:spPr>
          <c:marker>
            <c:symbol val="none"/>
          </c:marker>
          <c:cat>
            <c:strLit>
              <c:ptCount val="8"/>
              <c:pt idx="0">
                <c:v>1</c:v>
              </c:pt>
              <c:pt idx="1">
                <c:v>3</c:v>
              </c:pt>
              <c:pt idx="2">
                <c:v>7</c:v>
              </c:pt>
              <c:pt idx="3">
                <c:v>9</c:v>
              </c:pt>
              <c:pt idx="4">
                <c:v>12</c:v>
              </c:pt>
              <c:pt idx="5">
                <c:v>13</c:v>
              </c:pt>
              <c:pt idx="6">
                <c:v>15</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'SEA Seahawks'!$D$182:$D$198</c15:sqref>
                  </c15:fullRef>
                </c:ext>
              </c:extLst>
              <c:f>('SEA Seahawks'!$D$182,'SEA Seahawks'!$D$184,'SEA Seahawks'!$D$188,'SEA Seahawks'!$D$190,'SEA Seahawks'!$D$193:$D$194,'SEA Seahawks'!$D$196,'SEA Seahawks'!$D$198)</c:f>
              <c:numCache>
                <c:formatCode>General</c:formatCode>
                <c:ptCount val="8"/>
                <c:pt idx="0">
                  <c:v>1</c:v>
                </c:pt>
                <c:pt idx="1">
                  <c:v>3</c:v>
                </c:pt>
                <c:pt idx="2">
                  <c:v>7</c:v>
                </c:pt>
                <c:pt idx="3">
                  <c:v>9</c:v>
                </c:pt>
                <c:pt idx="4">
                  <c:v>12</c:v>
                </c:pt>
                <c:pt idx="5">
                  <c:v>13</c:v>
                </c:pt>
                <c:pt idx="6">
                  <c:v>15</c:v>
                </c:pt>
                <c:pt idx="7">
                  <c:v>17</c:v>
                </c:pt>
              </c:numCache>
            </c:numRef>
          </c:val>
          <c:smooth val="0"/>
          <c:extLst>
            <c:ext xmlns:c16="http://schemas.microsoft.com/office/drawing/2014/chart" uri="{C3380CC4-5D6E-409C-BE32-E72D297353CC}">
              <c16:uniqueId val="{00000000-DBD0-4150-9100-AFE0FF496331}"/>
            </c:ext>
          </c:extLst>
        </c:ser>
        <c:ser>
          <c:idx val="1"/>
          <c:order val="1"/>
          <c:tx>
            <c:strRef>
              <c:f>'SEA Seahawks'!$E$181</c:f>
              <c:strCache>
                <c:ptCount val="1"/>
                <c:pt idx="0">
                  <c:v>weekly_attendance</c:v>
                </c:pt>
              </c:strCache>
            </c:strRef>
          </c:tx>
          <c:spPr>
            <a:ln w="28575" cap="rnd">
              <a:solidFill>
                <a:schemeClr val="accent2"/>
              </a:solidFill>
              <a:round/>
            </a:ln>
            <a:effectLst/>
          </c:spPr>
          <c:marker>
            <c:symbol val="none"/>
          </c:marker>
          <c:cat>
            <c:strLit>
              <c:ptCount val="8"/>
              <c:pt idx="0">
                <c:v>1</c:v>
              </c:pt>
              <c:pt idx="1">
                <c:v>3</c:v>
              </c:pt>
              <c:pt idx="2">
                <c:v>7</c:v>
              </c:pt>
              <c:pt idx="3">
                <c:v>9</c:v>
              </c:pt>
              <c:pt idx="4">
                <c:v>12</c:v>
              </c:pt>
              <c:pt idx="5">
                <c:v>13</c:v>
              </c:pt>
              <c:pt idx="6">
                <c:v>15</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'SEA Seahawks'!$E$182:$E$198</c15:sqref>
                  </c15:fullRef>
                </c:ext>
              </c:extLst>
              <c:f>('SEA Seahawks'!$E$182,'SEA Seahawks'!$E$184,'SEA Seahawks'!$E$188,'SEA Seahawks'!$E$190,'SEA Seahawks'!$E$193:$E$194,'SEA Seahawks'!$E$196,'SEA Seahawks'!$E$198)</c:f>
              <c:numCache>
                <c:formatCode>General</c:formatCode>
                <c:ptCount val="8"/>
                <c:pt idx="0">
                  <c:v>67044</c:v>
                </c:pt>
                <c:pt idx="1">
                  <c:v>67106</c:v>
                </c:pt>
                <c:pt idx="2">
                  <c:v>67132</c:v>
                </c:pt>
                <c:pt idx="3">
                  <c:v>67287</c:v>
                </c:pt>
                <c:pt idx="4">
                  <c:v>66370</c:v>
                </c:pt>
                <c:pt idx="5">
                  <c:v>66577</c:v>
                </c:pt>
                <c:pt idx="6">
                  <c:v>67101</c:v>
                </c:pt>
                <c:pt idx="7">
                  <c:v>67325</c:v>
                </c:pt>
              </c:numCache>
            </c:numRef>
          </c:val>
          <c:smooth val="0"/>
          <c:extLst>
            <c:ext xmlns:c16="http://schemas.microsoft.com/office/drawing/2014/chart" uri="{C3380CC4-5D6E-409C-BE32-E72D297353CC}">
              <c16:uniqueId val="{00000001-DBD0-4150-9100-AFE0FF496331}"/>
            </c:ext>
          </c:extLst>
        </c:ser>
        <c:dLbls>
          <c:showLegendKey val="0"/>
          <c:showVal val="0"/>
          <c:showCatName val="0"/>
          <c:showSerName val="0"/>
          <c:showPercent val="0"/>
          <c:showBubbleSize val="0"/>
        </c:dLbls>
        <c:smooth val="0"/>
        <c:axId val="1055901568"/>
        <c:axId val="1055893888"/>
      </c:lineChart>
      <c:catAx>
        <c:axId val="10559015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5893888"/>
        <c:crosses val="autoZero"/>
        <c:auto val="1"/>
        <c:lblAlgn val="ctr"/>
        <c:lblOffset val="100"/>
        <c:noMultiLvlLbl val="0"/>
      </c:catAx>
      <c:valAx>
        <c:axId val="1055893888"/>
        <c:scaling>
          <c:orientation val="minMax"/>
          <c:max val="69000"/>
          <c:min val="66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5901568"/>
        <c:crosses val="autoZero"/>
        <c:crossBetween val="between"/>
        <c:maj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2011 - 2012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'SEA Seahawks'!$D$199</c:f>
              <c:strCache>
                <c:ptCount val="1"/>
                <c:pt idx="0">
                  <c:v>week</c:v>
                </c:pt>
              </c:strCache>
            </c:strRef>
          </c:tx>
          <c:spPr>
            <a:ln w="28575" cap="rnd">
              <a:solidFill>
                <a:schemeClr val="accent1"/>
              </a:solidFill>
              <a:round/>
            </a:ln>
            <a:effectLst/>
          </c:spPr>
          <c:marker>
            <c:symbol val="none"/>
          </c:marker>
          <c:cat>
            <c:strLit>
              <c:ptCount val="8"/>
              <c:pt idx="0">
                <c:v>3</c:v>
              </c:pt>
              <c:pt idx="1">
                <c:v>4</c:v>
              </c:pt>
              <c:pt idx="2">
                <c:v>8</c:v>
              </c:pt>
              <c:pt idx="3">
                <c:v>10</c:v>
              </c:pt>
              <c:pt idx="4">
                <c:v>12</c:v>
              </c:pt>
              <c:pt idx="5">
                <c:v>13</c:v>
              </c:pt>
              <c:pt idx="6">
                <c:v>14</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'SEA Seahawks'!$D$200:$D$216</c15:sqref>
                  </c15:fullRef>
                </c:ext>
              </c:extLst>
              <c:f>('SEA Seahawks'!$D$202:$D$203,'SEA Seahawks'!$D$207,'SEA Seahawks'!$D$209,'SEA Seahawks'!$D$211:$D$213,'SEA Seahawks'!$D$215)</c:f>
              <c:numCache>
                <c:formatCode>General</c:formatCode>
                <c:ptCount val="8"/>
                <c:pt idx="0">
                  <c:v>3</c:v>
                </c:pt>
                <c:pt idx="1">
                  <c:v>4</c:v>
                </c:pt>
                <c:pt idx="2">
                  <c:v>8</c:v>
                </c:pt>
                <c:pt idx="3">
                  <c:v>10</c:v>
                </c:pt>
                <c:pt idx="4">
                  <c:v>12</c:v>
                </c:pt>
                <c:pt idx="5">
                  <c:v>13</c:v>
                </c:pt>
                <c:pt idx="6">
                  <c:v>14</c:v>
                </c:pt>
                <c:pt idx="7">
                  <c:v>16</c:v>
                </c:pt>
              </c:numCache>
            </c:numRef>
          </c:val>
          <c:smooth val="0"/>
          <c:extLst>
            <c:ext xmlns:c16="http://schemas.microsoft.com/office/drawing/2014/chart" uri="{C3380CC4-5D6E-409C-BE32-E72D297353CC}">
              <c16:uniqueId val="{00000000-5C0C-4F7E-837C-3CE2AC0952E3}"/>
            </c:ext>
          </c:extLst>
        </c:ser>
        <c:ser>
          <c:idx val="1"/>
          <c:order val="1"/>
          <c:tx>
            <c:strRef>
              <c:f>'SEA Seahawks'!$E$199</c:f>
              <c:strCache>
                <c:ptCount val="1"/>
                <c:pt idx="0">
                  <c:v>weekly_attendance</c:v>
                </c:pt>
              </c:strCache>
            </c:strRef>
          </c:tx>
          <c:spPr>
            <a:ln w="28575" cap="rnd">
              <a:solidFill>
                <a:schemeClr val="accent2"/>
              </a:solidFill>
              <a:round/>
            </a:ln>
            <a:effectLst/>
          </c:spPr>
          <c:marker>
            <c:symbol val="none"/>
          </c:marker>
          <c:cat>
            <c:strLit>
              <c:ptCount val="8"/>
              <c:pt idx="0">
                <c:v>3</c:v>
              </c:pt>
              <c:pt idx="1">
                <c:v>4</c:v>
              </c:pt>
              <c:pt idx="2">
                <c:v>8</c:v>
              </c:pt>
              <c:pt idx="3">
                <c:v>10</c:v>
              </c:pt>
              <c:pt idx="4">
                <c:v>12</c:v>
              </c:pt>
              <c:pt idx="5">
                <c:v>13</c:v>
              </c:pt>
              <c:pt idx="6">
                <c:v>14</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'SEA Seahawks'!$E$200:$E$216</c15:sqref>
                  </c15:fullRef>
                </c:ext>
              </c:extLst>
              <c:f>('SEA Seahawks'!$E$202:$E$203,'SEA Seahawks'!$E$207,'SEA Seahawks'!$E$209,'SEA Seahawks'!$E$211:$E$213,'SEA Seahawks'!$E$215)</c:f>
              <c:numCache>
                <c:formatCode>General</c:formatCode>
                <c:ptCount val="8"/>
                <c:pt idx="0">
                  <c:v>66199</c:v>
                </c:pt>
                <c:pt idx="1">
                  <c:v>66266</c:v>
                </c:pt>
                <c:pt idx="2">
                  <c:v>66004</c:v>
                </c:pt>
                <c:pt idx="3">
                  <c:v>66522</c:v>
                </c:pt>
                <c:pt idx="4">
                  <c:v>66007</c:v>
                </c:pt>
                <c:pt idx="5">
                  <c:v>67039</c:v>
                </c:pt>
                <c:pt idx="6">
                  <c:v>66577</c:v>
                </c:pt>
                <c:pt idx="7">
                  <c:v>66697</c:v>
                </c:pt>
              </c:numCache>
            </c:numRef>
          </c:val>
          <c:smooth val="0"/>
          <c:extLst>
            <c:ext xmlns:c16="http://schemas.microsoft.com/office/drawing/2014/chart" uri="{C3380CC4-5D6E-409C-BE32-E72D297353CC}">
              <c16:uniqueId val="{00000001-5C0C-4F7E-837C-3CE2AC0952E3}"/>
            </c:ext>
          </c:extLst>
        </c:ser>
        <c:dLbls>
          <c:showLegendKey val="0"/>
          <c:showVal val="0"/>
          <c:showCatName val="0"/>
          <c:showSerName val="0"/>
          <c:showPercent val="0"/>
          <c:showBubbleSize val="0"/>
        </c:dLbls>
        <c:smooth val="0"/>
        <c:axId val="1055937568"/>
        <c:axId val="1055939968"/>
      </c:lineChart>
      <c:catAx>
        <c:axId val="10559375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5939968"/>
        <c:crosses val="autoZero"/>
        <c:auto val="1"/>
        <c:lblAlgn val="ctr"/>
        <c:lblOffset val="100"/>
        <c:noMultiLvlLbl val="0"/>
      </c:catAx>
      <c:valAx>
        <c:axId val="1055939968"/>
        <c:scaling>
          <c:orientation val="minMax"/>
          <c:max val="69000"/>
          <c:min val="66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5937568"/>
        <c:crosses val="autoZero"/>
        <c:crossBetween val="between"/>
        <c:maj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2012 - 2013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'SEA Seahawks'!$D$217</c:f>
              <c:strCache>
                <c:ptCount val="1"/>
                <c:pt idx="0">
                  <c:v>week</c:v>
                </c:pt>
              </c:strCache>
            </c:strRef>
          </c:tx>
          <c:spPr>
            <a:ln w="28575" cap="rnd">
              <a:solidFill>
                <a:schemeClr val="accent1"/>
              </a:solidFill>
              <a:round/>
            </a:ln>
            <a:effectLst/>
          </c:spPr>
          <c:marker>
            <c:symbol val="none"/>
          </c:marker>
          <c:cat>
            <c:strLit>
              <c:ptCount val="8"/>
              <c:pt idx="0">
                <c:v>2</c:v>
              </c:pt>
              <c:pt idx="1">
                <c:v>3</c:v>
              </c:pt>
              <c:pt idx="2">
                <c:v>6</c:v>
              </c:pt>
              <c:pt idx="3">
                <c:v>9</c:v>
              </c:pt>
              <c:pt idx="4">
                <c:v>10</c:v>
              </c:pt>
              <c:pt idx="5">
                <c:v>14</c:v>
              </c:pt>
              <c:pt idx="6">
                <c:v>16</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'SEA Seahawks'!$D$218:$D$234</c15:sqref>
                  </c15:fullRef>
                </c:ext>
              </c:extLst>
              <c:f>('SEA Seahawks'!$D$219:$D$220,'SEA Seahawks'!$D$223,'SEA Seahawks'!$D$226:$D$227,'SEA Seahawks'!$D$231,'SEA Seahawks'!$D$233:$D$234)</c:f>
              <c:numCache>
                <c:formatCode>General</c:formatCode>
                <c:ptCount val="8"/>
                <c:pt idx="0">
                  <c:v>2</c:v>
                </c:pt>
                <c:pt idx="1">
                  <c:v>3</c:v>
                </c:pt>
                <c:pt idx="2">
                  <c:v>6</c:v>
                </c:pt>
                <c:pt idx="3">
                  <c:v>9</c:v>
                </c:pt>
                <c:pt idx="4">
                  <c:v>10</c:v>
                </c:pt>
                <c:pt idx="5">
                  <c:v>14</c:v>
                </c:pt>
                <c:pt idx="6">
                  <c:v>16</c:v>
                </c:pt>
                <c:pt idx="7">
                  <c:v>17</c:v>
                </c:pt>
              </c:numCache>
            </c:numRef>
          </c:val>
          <c:smooth val="0"/>
          <c:extLst>
            <c:ext xmlns:c16="http://schemas.microsoft.com/office/drawing/2014/chart" uri="{C3380CC4-5D6E-409C-BE32-E72D297353CC}">
              <c16:uniqueId val="{00000000-C89C-4A63-A77A-75F244848DC8}"/>
            </c:ext>
          </c:extLst>
        </c:ser>
        <c:ser>
          <c:idx val="1"/>
          <c:order val="1"/>
          <c:tx>
            <c:strRef>
              <c:f>'SEA Seahawks'!$E$217</c:f>
              <c:strCache>
                <c:ptCount val="1"/>
                <c:pt idx="0">
                  <c:v>weekly_attendance</c:v>
                </c:pt>
              </c:strCache>
            </c:strRef>
          </c:tx>
          <c:spPr>
            <a:ln w="28575" cap="rnd">
              <a:solidFill>
                <a:schemeClr val="accent2"/>
              </a:solidFill>
              <a:round/>
            </a:ln>
            <a:effectLst/>
          </c:spPr>
          <c:marker>
            <c:symbol val="none"/>
          </c:marker>
          <c:cat>
            <c:strLit>
              <c:ptCount val="8"/>
              <c:pt idx="0">
                <c:v>2</c:v>
              </c:pt>
              <c:pt idx="1">
                <c:v>3</c:v>
              </c:pt>
              <c:pt idx="2">
                <c:v>6</c:v>
              </c:pt>
              <c:pt idx="3">
                <c:v>9</c:v>
              </c:pt>
              <c:pt idx="4">
                <c:v>10</c:v>
              </c:pt>
              <c:pt idx="5">
                <c:v>14</c:v>
              </c:pt>
              <c:pt idx="6">
                <c:v>16</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'SEA Seahawks'!$E$218:$E$234</c15:sqref>
                  </c15:fullRef>
                </c:ext>
              </c:extLst>
              <c:f>('SEA Seahawks'!$E$219:$E$220,'SEA Seahawks'!$E$223,'SEA Seahawks'!$E$226:$E$227,'SEA Seahawks'!$E$231,'SEA Seahawks'!$E$233:$E$234)</c:f>
              <c:numCache>
                <c:formatCode>General</c:formatCode>
                <c:ptCount val="8"/>
                <c:pt idx="0">
                  <c:v>68008</c:v>
                </c:pt>
                <c:pt idx="1">
                  <c:v>68218</c:v>
                </c:pt>
                <c:pt idx="2">
                  <c:v>68137</c:v>
                </c:pt>
                <c:pt idx="3">
                  <c:v>67584</c:v>
                </c:pt>
                <c:pt idx="4">
                  <c:v>67841</c:v>
                </c:pt>
                <c:pt idx="5">
                  <c:v>67685</c:v>
                </c:pt>
                <c:pt idx="6">
                  <c:v>68161</c:v>
                </c:pt>
                <c:pt idx="7">
                  <c:v>67936</c:v>
                </c:pt>
              </c:numCache>
            </c:numRef>
          </c:val>
          <c:smooth val="0"/>
          <c:extLst>
            <c:ext xmlns:c16="http://schemas.microsoft.com/office/drawing/2014/chart" uri="{C3380CC4-5D6E-409C-BE32-E72D297353CC}">
              <c16:uniqueId val="{00000001-C89C-4A63-A77A-75F244848DC8}"/>
            </c:ext>
          </c:extLst>
        </c:ser>
        <c:dLbls>
          <c:showLegendKey val="0"/>
          <c:showVal val="0"/>
          <c:showCatName val="0"/>
          <c:showSerName val="0"/>
          <c:showPercent val="0"/>
          <c:showBubbleSize val="0"/>
        </c:dLbls>
        <c:smooth val="0"/>
        <c:axId val="1055913568"/>
        <c:axId val="1055917408"/>
      </c:lineChart>
      <c:catAx>
        <c:axId val="10559135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5917408"/>
        <c:crosses val="autoZero"/>
        <c:auto val="1"/>
        <c:lblAlgn val="ctr"/>
        <c:lblOffset val="100"/>
        <c:noMultiLvlLbl val="0"/>
      </c:catAx>
      <c:valAx>
        <c:axId val="1055917408"/>
        <c:scaling>
          <c:orientation val="minMax"/>
          <c:max val="69000"/>
          <c:min val="66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5913568"/>
        <c:crosses val="autoZero"/>
        <c:crossBetween val="between"/>
        <c:maj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2013 - 2014</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'SEA Seahawks'!$D$235</c:f>
              <c:strCache>
                <c:ptCount val="1"/>
                <c:pt idx="0">
                  <c:v>week</c:v>
                </c:pt>
              </c:strCache>
            </c:strRef>
          </c:tx>
          <c:spPr>
            <a:ln w="28575" cap="rnd">
              <a:solidFill>
                <a:schemeClr val="accent1"/>
              </a:solidFill>
              <a:round/>
            </a:ln>
            <a:effectLst/>
          </c:spPr>
          <c:marker>
            <c:symbol val="none"/>
          </c:marker>
          <c:cat>
            <c:strLit>
              <c:ptCount val="8"/>
              <c:pt idx="0">
                <c:v>2</c:v>
              </c:pt>
              <c:pt idx="1">
                <c:v>3</c:v>
              </c:pt>
              <c:pt idx="2">
                <c:v>6</c:v>
              </c:pt>
              <c:pt idx="3">
                <c:v>9</c:v>
              </c:pt>
              <c:pt idx="4">
                <c:v>11</c:v>
              </c:pt>
              <c:pt idx="5">
                <c:v>13</c:v>
              </c:pt>
              <c:pt idx="6">
                <c:v>16</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'SEA Seahawks'!$D$236:$D$252</c15:sqref>
                  </c15:fullRef>
                </c:ext>
              </c:extLst>
              <c:f>('SEA Seahawks'!$D$237:$D$238,'SEA Seahawks'!$D$241,'SEA Seahawks'!$D$244,'SEA Seahawks'!$D$246,'SEA Seahawks'!$D$248,'SEA Seahawks'!$D$251:$D$252)</c:f>
              <c:numCache>
                <c:formatCode>General</c:formatCode>
                <c:ptCount val="8"/>
                <c:pt idx="0">
                  <c:v>2</c:v>
                </c:pt>
                <c:pt idx="1">
                  <c:v>3</c:v>
                </c:pt>
                <c:pt idx="2">
                  <c:v>6</c:v>
                </c:pt>
                <c:pt idx="3">
                  <c:v>9</c:v>
                </c:pt>
                <c:pt idx="4">
                  <c:v>11</c:v>
                </c:pt>
                <c:pt idx="5">
                  <c:v>13</c:v>
                </c:pt>
                <c:pt idx="6">
                  <c:v>16</c:v>
                </c:pt>
                <c:pt idx="7">
                  <c:v>17</c:v>
                </c:pt>
              </c:numCache>
            </c:numRef>
          </c:val>
          <c:smooth val="0"/>
          <c:extLst>
            <c:ext xmlns:c16="http://schemas.microsoft.com/office/drawing/2014/chart" uri="{C3380CC4-5D6E-409C-BE32-E72D297353CC}">
              <c16:uniqueId val="{00000000-6F3C-4C28-884D-096D5A2D3E41}"/>
            </c:ext>
          </c:extLst>
        </c:ser>
        <c:ser>
          <c:idx val="1"/>
          <c:order val="1"/>
          <c:tx>
            <c:strRef>
              <c:f>'SEA Seahawks'!$E$235</c:f>
              <c:strCache>
                <c:ptCount val="1"/>
                <c:pt idx="0">
                  <c:v>weekly_attendance</c:v>
                </c:pt>
              </c:strCache>
            </c:strRef>
          </c:tx>
          <c:spPr>
            <a:ln w="28575" cap="rnd">
              <a:solidFill>
                <a:schemeClr val="accent2"/>
              </a:solidFill>
              <a:round/>
            </a:ln>
            <a:effectLst/>
          </c:spPr>
          <c:marker>
            <c:symbol val="none"/>
          </c:marker>
          <c:cat>
            <c:strLit>
              <c:ptCount val="8"/>
              <c:pt idx="0">
                <c:v>2</c:v>
              </c:pt>
              <c:pt idx="1">
                <c:v>3</c:v>
              </c:pt>
              <c:pt idx="2">
                <c:v>6</c:v>
              </c:pt>
              <c:pt idx="3">
                <c:v>9</c:v>
              </c:pt>
              <c:pt idx="4">
                <c:v>11</c:v>
              </c:pt>
              <c:pt idx="5">
                <c:v>13</c:v>
              </c:pt>
              <c:pt idx="6">
                <c:v>16</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'SEA Seahawks'!$E$236:$E$252</c15:sqref>
                  </c15:fullRef>
                </c:ext>
              </c:extLst>
              <c:f>('SEA Seahawks'!$E$237:$E$238,'SEA Seahawks'!$E$241,'SEA Seahawks'!$E$244,'SEA Seahawks'!$E$246,'SEA Seahawks'!$E$248,'SEA Seahawks'!$E$251:$E$252)</c:f>
              <c:numCache>
                <c:formatCode>General</c:formatCode>
                <c:ptCount val="8"/>
                <c:pt idx="0">
                  <c:v>68338</c:v>
                </c:pt>
                <c:pt idx="1">
                  <c:v>68087</c:v>
                </c:pt>
                <c:pt idx="2">
                  <c:v>68127</c:v>
                </c:pt>
                <c:pt idx="3">
                  <c:v>67873</c:v>
                </c:pt>
                <c:pt idx="4">
                  <c:v>68235</c:v>
                </c:pt>
                <c:pt idx="5">
                  <c:v>68387</c:v>
                </c:pt>
                <c:pt idx="6">
                  <c:v>68266</c:v>
                </c:pt>
                <c:pt idx="7">
                  <c:v>68264</c:v>
                </c:pt>
              </c:numCache>
            </c:numRef>
          </c:val>
          <c:smooth val="0"/>
          <c:extLst>
            <c:ext xmlns:c16="http://schemas.microsoft.com/office/drawing/2014/chart" uri="{C3380CC4-5D6E-409C-BE32-E72D297353CC}">
              <c16:uniqueId val="{00000001-6F3C-4C28-884D-096D5A2D3E41}"/>
            </c:ext>
          </c:extLst>
        </c:ser>
        <c:dLbls>
          <c:showLegendKey val="0"/>
          <c:showVal val="0"/>
          <c:showCatName val="0"/>
          <c:showSerName val="0"/>
          <c:showPercent val="0"/>
          <c:showBubbleSize val="0"/>
        </c:dLbls>
        <c:smooth val="0"/>
        <c:axId val="646801616"/>
        <c:axId val="646790576"/>
      </c:lineChart>
      <c:catAx>
        <c:axId val="64680161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6790576"/>
        <c:crosses val="autoZero"/>
        <c:auto val="1"/>
        <c:lblAlgn val="ctr"/>
        <c:lblOffset val="100"/>
        <c:noMultiLvlLbl val="0"/>
      </c:catAx>
      <c:valAx>
        <c:axId val="646790576"/>
        <c:scaling>
          <c:orientation val="minMax"/>
          <c:min val="66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6801616"/>
        <c:crosses val="autoZero"/>
        <c:crossBetween val="between"/>
        <c:maj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2014 - 2015</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'SEA Seahawks'!$D$253</c:f>
              <c:strCache>
                <c:ptCount val="1"/>
                <c:pt idx="0">
                  <c:v>week</c:v>
                </c:pt>
              </c:strCache>
            </c:strRef>
          </c:tx>
          <c:spPr>
            <a:ln w="28575" cap="rnd">
              <a:solidFill>
                <a:schemeClr val="accent1"/>
              </a:solidFill>
              <a:round/>
            </a:ln>
            <a:effectLst/>
          </c:spPr>
          <c:marker>
            <c:symbol val="none"/>
          </c:marker>
          <c:cat>
            <c:strLit>
              <c:ptCount val="8"/>
              <c:pt idx="0">
                <c:v>1</c:v>
              </c:pt>
              <c:pt idx="1">
                <c:v>3</c:v>
              </c:pt>
              <c:pt idx="2">
                <c:v>6</c:v>
              </c:pt>
              <c:pt idx="3">
                <c:v>9</c:v>
              </c:pt>
              <c:pt idx="4">
                <c:v>10</c:v>
              </c:pt>
              <c:pt idx="5">
                <c:v>12</c:v>
              </c:pt>
              <c:pt idx="6">
                <c:v>15</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'SEA Seahawks'!$D$254:$D$270</c15:sqref>
                  </c15:fullRef>
                </c:ext>
              </c:extLst>
              <c:f>('SEA Seahawks'!$D$254,'SEA Seahawks'!$D$256,'SEA Seahawks'!$D$259,'SEA Seahawks'!$D$262:$D$263,'SEA Seahawks'!$D$265,'SEA Seahawks'!$D$268,'SEA Seahawks'!$D$270)</c:f>
              <c:numCache>
                <c:formatCode>General</c:formatCode>
                <c:ptCount val="8"/>
                <c:pt idx="0">
                  <c:v>1</c:v>
                </c:pt>
                <c:pt idx="1">
                  <c:v>3</c:v>
                </c:pt>
                <c:pt idx="2">
                  <c:v>6</c:v>
                </c:pt>
                <c:pt idx="3">
                  <c:v>9</c:v>
                </c:pt>
                <c:pt idx="4">
                  <c:v>10</c:v>
                </c:pt>
                <c:pt idx="5">
                  <c:v>12</c:v>
                </c:pt>
                <c:pt idx="6">
                  <c:v>15</c:v>
                </c:pt>
                <c:pt idx="7">
                  <c:v>17</c:v>
                </c:pt>
              </c:numCache>
            </c:numRef>
          </c:val>
          <c:smooth val="0"/>
          <c:extLst>
            <c:ext xmlns:c16="http://schemas.microsoft.com/office/drawing/2014/chart" uri="{C3380CC4-5D6E-409C-BE32-E72D297353CC}">
              <c16:uniqueId val="{00000000-9773-4990-BD98-B37E6510C75B}"/>
            </c:ext>
          </c:extLst>
        </c:ser>
        <c:ser>
          <c:idx val="1"/>
          <c:order val="1"/>
          <c:tx>
            <c:strRef>
              <c:f>'SEA Seahawks'!$E$253</c:f>
              <c:strCache>
                <c:ptCount val="1"/>
                <c:pt idx="0">
                  <c:v>weekly_attendance</c:v>
                </c:pt>
              </c:strCache>
            </c:strRef>
          </c:tx>
          <c:spPr>
            <a:ln w="28575" cap="rnd">
              <a:solidFill>
                <a:schemeClr val="accent2"/>
              </a:solidFill>
              <a:round/>
            </a:ln>
            <a:effectLst/>
          </c:spPr>
          <c:marker>
            <c:symbol val="none"/>
          </c:marker>
          <c:cat>
            <c:strLit>
              <c:ptCount val="8"/>
              <c:pt idx="0">
                <c:v>1</c:v>
              </c:pt>
              <c:pt idx="1">
                <c:v>3</c:v>
              </c:pt>
              <c:pt idx="2">
                <c:v>6</c:v>
              </c:pt>
              <c:pt idx="3">
                <c:v>9</c:v>
              </c:pt>
              <c:pt idx="4">
                <c:v>10</c:v>
              </c:pt>
              <c:pt idx="5">
                <c:v>12</c:v>
              </c:pt>
              <c:pt idx="6">
                <c:v>15</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'SEA Seahawks'!$E$254:$E$270</c15:sqref>
                  </c15:fullRef>
                </c:ext>
              </c:extLst>
              <c:f>('SEA Seahawks'!$E$254,'SEA Seahawks'!$E$256,'SEA Seahawks'!$E$259,'SEA Seahawks'!$E$262:$E$263,'SEA Seahawks'!$E$265,'SEA Seahawks'!$E$268,'SEA Seahawks'!$E$270)</c:f>
              <c:numCache>
                <c:formatCode>General</c:formatCode>
                <c:ptCount val="8"/>
                <c:pt idx="0">
                  <c:v>68424</c:v>
                </c:pt>
                <c:pt idx="1">
                  <c:v>68447</c:v>
                </c:pt>
                <c:pt idx="2">
                  <c:v>68432</c:v>
                </c:pt>
                <c:pt idx="3">
                  <c:v>68337</c:v>
                </c:pt>
                <c:pt idx="4">
                  <c:v>68352</c:v>
                </c:pt>
                <c:pt idx="5">
                  <c:v>68327</c:v>
                </c:pt>
                <c:pt idx="6">
                  <c:v>68526</c:v>
                </c:pt>
                <c:pt idx="7">
                  <c:v>68453</c:v>
                </c:pt>
              </c:numCache>
            </c:numRef>
          </c:val>
          <c:smooth val="0"/>
          <c:extLst>
            <c:ext xmlns:c16="http://schemas.microsoft.com/office/drawing/2014/chart" uri="{C3380CC4-5D6E-409C-BE32-E72D297353CC}">
              <c16:uniqueId val="{00000001-9773-4990-BD98-B37E6510C75B}"/>
            </c:ext>
          </c:extLst>
        </c:ser>
        <c:dLbls>
          <c:showLegendKey val="0"/>
          <c:showVal val="0"/>
          <c:showCatName val="0"/>
          <c:showSerName val="0"/>
          <c:showPercent val="0"/>
          <c:showBubbleSize val="0"/>
        </c:dLbls>
        <c:smooth val="0"/>
        <c:axId val="1055883328"/>
        <c:axId val="1055881408"/>
      </c:lineChart>
      <c:catAx>
        <c:axId val="105588332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5881408"/>
        <c:crosses val="autoZero"/>
        <c:auto val="1"/>
        <c:lblAlgn val="ctr"/>
        <c:lblOffset val="100"/>
        <c:noMultiLvlLbl val="0"/>
      </c:catAx>
      <c:valAx>
        <c:axId val="1055881408"/>
        <c:scaling>
          <c:orientation val="minMax"/>
          <c:min val="66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5883328"/>
        <c:crosses val="autoZero"/>
        <c:crossBetween val="between"/>
        <c:maj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2015 - 2016</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'SEA Seahawks'!$D$271</c:f>
              <c:strCache>
                <c:ptCount val="1"/>
                <c:pt idx="0">
                  <c:v>week</c:v>
                </c:pt>
              </c:strCache>
            </c:strRef>
          </c:tx>
          <c:spPr>
            <a:ln w="28575" cap="rnd">
              <a:solidFill>
                <a:schemeClr val="accent1"/>
              </a:solidFill>
              <a:round/>
            </a:ln>
            <a:effectLst/>
          </c:spPr>
          <c:marker>
            <c:symbol val="none"/>
          </c:marker>
          <c:cat>
            <c:strLit>
              <c:ptCount val="8"/>
              <c:pt idx="0">
                <c:v>3</c:v>
              </c:pt>
              <c:pt idx="1">
                <c:v>4</c:v>
              </c:pt>
              <c:pt idx="2">
                <c:v>6</c:v>
              </c:pt>
              <c:pt idx="3">
                <c:v>10</c:v>
              </c:pt>
              <c:pt idx="4">
                <c:v>11</c:v>
              </c:pt>
              <c:pt idx="5">
                <c:v>12</c:v>
              </c:pt>
              <c:pt idx="6">
                <c:v>15</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'SEA Seahawks'!$D$272:$D$288</c15:sqref>
                  </c15:fullRef>
                </c:ext>
              </c:extLst>
              <c:f>('SEA Seahawks'!$D$274:$D$275,'SEA Seahawks'!$D$277,'SEA Seahawks'!$D$281:$D$283,'SEA Seahawks'!$D$286:$D$287)</c:f>
              <c:numCache>
                <c:formatCode>General</c:formatCode>
                <c:ptCount val="8"/>
                <c:pt idx="0">
                  <c:v>3</c:v>
                </c:pt>
                <c:pt idx="1">
                  <c:v>4</c:v>
                </c:pt>
                <c:pt idx="2">
                  <c:v>6</c:v>
                </c:pt>
                <c:pt idx="3">
                  <c:v>10</c:v>
                </c:pt>
                <c:pt idx="4">
                  <c:v>11</c:v>
                </c:pt>
                <c:pt idx="5">
                  <c:v>12</c:v>
                </c:pt>
                <c:pt idx="6">
                  <c:v>15</c:v>
                </c:pt>
                <c:pt idx="7">
                  <c:v>16</c:v>
                </c:pt>
              </c:numCache>
            </c:numRef>
          </c:val>
          <c:smooth val="0"/>
          <c:extLst>
            <c:ext xmlns:c16="http://schemas.microsoft.com/office/drawing/2014/chart" uri="{C3380CC4-5D6E-409C-BE32-E72D297353CC}">
              <c16:uniqueId val="{00000000-4D35-4C45-96E8-69D03BA61D3E}"/>
            </c:ext>
          </c:extLst>
        </c:ser>
        <c:ser>
          <c:idx val="1"/>
          <c:order val="1"/>
          <c:tx>
            <c:strRef>
              <c:f>'SEA Seahawks'!$E$271</c:f>
              <c:strCache>
                <c:ptCount val="1"/>
                <c:pt idx="0">
                  <c:v>weekly_attendance</c:v>
                </c:pt>
              </c:strCache>
            </c:strRef>
          </c:tx>
          <c:spPr>
            <a:ln w="28575" cap="rnd">
              <a:solidFill>
                <a:schemeClr val="accent2"/>
              </a:solidFill>
              <a:round/>
            </a:ln>
            <a:effectLst/>
          </c:spPr>
          <c:marker>
            <c:symbol val="none"/>
          </c:marker>
          <c:cat>
            <c:strLit>
              <c:ptCount val="8"/>
              <c:pt idx="0">
                <c:v>3</c:v>
              </c:pt>
              <c:pt idx="1">
                <c:v>4</c:v>
              </c:pt>
              <c:pt idx="2">
                <c:v>6</c:v>
              </c:pt>
              <c:pt idx="3">
                <c:v>10</c:v>
              </c:pt>
              <c:pt idx="4">
                <c:v>11</c:v>
              </c:pt>
              <c:pt idx="5">
                <c:v>12</c:v>
              </c:pt>
              <c:pt idx="6">
                <c:v>15</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'SEA Seahawks'!$E$272:$E$288</c15:sqref>
                  </c15:fullRef>
                </c:ext>
              </c:extLst>
              <c:f>('SEA Seahawks'!$E$274:$E$275,'SEA Seahawks'!$E$277,'SEA Seahawks'!$E$281:$E$283,'SEA Seahawks'!$E$286:$E$287)</c:f>
              <c:numCache>
                <c:formatCode>General</c:formatCode>
                <c:ptCount val="8"/>
                <c:pt idx="0">
                  <c:v>69002</c:v>
                </c:pt>
                <c:pt idx="1">
                  <c:v>69005</c:v>
                </c:pt>
                <c:pt idx="2">
                  <c:v>69020</c:v>
                </c:pt>
                <c:pt idx="3">
                  <c:v>69005</c:v>
                </c:pt>
                <c:pt idx="4">
                  <c:v>68993</c:v>
                </c:pt>
                <c:pt idx="5">
                  <c:v>69055</c:v>
                </c:pt>
                <c:pt idx="6">
                  <c:v>69002</c:v>
                </c:pt>
                <c:pt idx="7">
                  <c:v>69080</c:v>
                </c:pt>
              </c:numCache>
            </c:numRef>
          </c:val>
          <c:smooth val="0"/>
          <c:extLst>
            <c:ext xmlns:c16="http://schemas.microsoft.com/office/drawing/2014/chart" uri="{C3380CC4-5D6E-409C-BE32-E72D297353CC}">
              <c16:uniqueId val="{00000001-4D35-4C45-96E8-69D03BA61D3E}"/>
            </c:ext>
          </c:extLst>
        </c:ser>
        <c:dLbls>
          <c:showLegendKey val="0"/>
          <c:showVal val="0"/>
          <c:showCatName val="0"/>
          <c:showSerName val="0"/>
          <c:showPercent val="0"/>
          <c:showBubbleSize val="0"/>
        </c:dLbls>
        <c:smooth val="0"/>
        <c:axId val="646811216"/>
        <c:axId val="646812176"/>
      </c:lineChart>
      <c:catAx>
        <c:axId val="64681121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6812176"/>
        <c:crosses val="autoZero"/>
        <c:auto val="1"/>
        <c:lblAlgn val="ctr"/>
        <c:lblOffset val="100"/>
        <c:noMultiLvlLbl val="0"/>
      </c:catAx>
      <c:valAx>
        <c:axId val="646812176"/>
        <c:scaling>
          <c:orientation val="minMax"/>
          <c:max val="69500"/>
          <c:min val="66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6811216"/>
        <c:crosses val="autoZero"/>
        <c:crossBetween val="between"/>
        <c:maj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2016 - 2017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'SEA Seahawks'!$D$289</c:f>
              <c:strCache>
                <c:ptCount val="1"/>
                <c:pt idx="0">
                  <c:v>week</c:v>
                </c:pt>
              </c:strCache>
            </c:strRef>
          </c:tx>
          <c:spPr>
            <a:ln w="28575" cap="rnd">
              <a:solidFill>
                <a:schemeClr val="accent1"/>
              </a:solidFill>
              <a:round/>
            </a:ln>
            <a:effectLst/>
          </c:spPr>
          <c:marker>
            <c:symbol val="none"/>
          </c:marker>
          <c:cat>
            <c:strLit>
              <c:ptCount val="8"/>
              <c:pt idx="0">
                <c:v>1</c:v>
              </c:pt>
              <c:pt idx="1">
                <c:v>3</c:v>
              </c:pt>
              <c:pt idx="2">
                <c:v>6</c:v>
              </c:pt>
              <c:pt idx="3">
                <c:v>9</c:v>
              </c:pt>
              <c:pt idx="4">
                <c:v>11</c:v>
              </c:pt>
              <c:pt idx="5">
                <c:v>13</c:v>
              </c:pt>
              <c:pt idx="6">
                <c:v>15</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'SEA Seahawks'!$D$290:$D$306</c15:sqref>
                  </c15:fullRef>
                </c:ext>
              </c:extLst>
              <c:f>('SEA Seahawks'!$D$290,'SEA Seahawks'!$D$292,'SEA Seahawks'!$D$295,'SEA Seahawks'!$D$298,'SEA Seahawks'!$D$300,'SEA Seahawks'!$D$302,'SEA Seahawks'!$D$304:$D$305)</c:f>
              <c:numCache>
                <c:formatCode>General</c:formatCode>
                <c:ptCount val="8"/>
                <c:pt idx="0">
                  <c:v>1</c:v>
                </c:pt>
                <c:pt idx="1">
                  <c:v>3</c:v>
                </c:pt>
                <c:pt idx="2">
                  <c:v>6</c:v>
                </c:pt>
                <c:pt idx="3">
                  <c:v>9</c:v>
                </c:pt>
                <c:pt idx="4">
                  <c:v>11</c:v>
                </c:pt>
                <c:pt idx="5">
                  <c:v>13</c:v>
                </c:pt>
                <c:pt idx="6">
                  <c:v>15</c:v>
                </c:pt>
                <c:pt idx="7">
                  <c:v>16</c:v>
                </c:pt>
              </c:numCache>
            </c:numRef>
          </c:val>
          <c:smooth val="0"/>
          <c:extLst>
            <c:ext xmlns:c16="http://schemas.microsoft.com/office/drawing/2014/chart" uri="{C3380CC4-5D6E-409C-BE32-E72D297353CC}">
              <c16:uniqueId val="{00000000-7BA8-48CB-B19D-CDF9C5BB0768}"/>
            </c:ext>
          </c:extLst>
        </c:ser>
        <c:ser>
          <c:idx val="1"/>
          <c:order val="1"/>
          <c:tx>
            <c:strRef>
              <c:f>'SEA Seahawks'!$E$289</c:f>
              <c:strCache>
                <c:ptCount val="1"/>
                <c:pt idx="0">
                  <c:v>weekly_attendance</c:v>
                </c:pt>
              </c:strCache>
            </c:strRef>
          </c:tx>
          <c:spPr>
            <a:ln w="28575" cap="rnd">
              <a:solidFill>
                <a:schemeClr val="accent2"/>
              </a:solidFill>
              <a:round/>
            </a:ln>
            <a:effectLst/>
          </c:spPr>
          <c:marker>
            <c:symbol val="none"/>
          </c:marker>
          <c:cat>
            <c:strLit>
              <c:ptCount val="8"/>
              <c:pt idx="0">
                <c:v>1</c:v>
              </c:pt>
              <c:pt idx="1">
                <c:v>3</c:v>
              </c:pt>
              <c:pt idx="2">
                <c:v>6</c:v>
              </c:pt>
              <c:pt idx="3">
                <c:v>9</c:v>
              </c:pt>
              <c:pt idx="4">
                <c:v>11</c:v>
              </c:pt>
              <c:pt idx="5">
                <c:v>13</c:v>
              </c:pt>
              <c:pt idx="6">
                <c:v>15</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'SEA Seahawks'!$E$290:$E$306</c15:sqref>
                  </c15:fullRef>
                </c:ext>
              </c:extLst>
              <c:f>('SEA Seahawks'!$E$290,'SEA Seahawks'!$E$292,'SEA Seahawks'!$E$295,'SEA Seahawks'!$E$298,'SEA Seahawks'!$E$300,'SEA Seahawks'!$E$302,'SEA Seahawks'!$E$304:$E$305)</c:f>
              <c:numCache>
                <c:formatCode>General</c:formatCode>
                <c:ptCount val="8"/>
                <c:pt idx="0">
                  <c:v>69012</c:v>
                </c:pt>
                <c:pt idx="1">
                  <c:v>69010</c:v>
                </c:pt>
                <c:pt idx="2">
                  <c:v>69071</c:v>
                </c:pt>
                <c:pt idx="3">
                  <c:v>69084</c:v>
                </c:pt>
                <c:pt idx="4">
                  <c:v>69190</c:v>
                </c:pt>
                <c:pt idx="5">
                  <c:v>69104</c:v>
                </c:pt>
                <c:pt idx="6">
                  <c:v>69067</c:v>
                </c:pt>
                <c:pt idx="7">
                  <c:v>69050</c:v>
                </c:pt>
              </c:numCache>
            </c:numRef>
          </c:val>
          <c:smooth val="0"/>
          <c:extLst>
            <c:ext xmlns:c16="http://schemas.microsoft.com/office/drawing/2014/chart" uri="{C3380CC4-5D6E-409C-BE32-E72D297353CC}">
              <c16:uniqueId val="{00000001-7BA8-48CB-B19D-CDF9C5BB0768}"/>
            </c:ext>
          </c:extLst>
        </c:ser>
        <c:dLbls>
          <c:showLegendKey val="0"/>
          <c:showVal val="0"/>
          <c:showCatName val="0"/>
          <c:showSerName val="0"/>
          <c:showPercent val="0"/>
          <c:showBubbleSize val="0"/>
        </c:dLbls>
        <c:smooth val="0"/>
        <c:axId val="1055912608"/>
        <c:axId val="1055909248"/>
      </c:lineChart>
      <c:catAx>
        <c:axId val="105591260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5909248"/>
        <c:crosses val="autoZero"/>
        <c:auto val="1"/>
        <c:lblAlgn val="ctr"/>
        <c:lblOffset val="100"/>
        <c:noMultiLvlLbl val="0"/>
      </c:catAx>
      <c:valAx>
        <c:axId val="1055909248"/>
        <c:scaling>
          <c:orientation val="minMax"/>
          <c:min val="66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5912608"/>
        <c:crosses val="autoZero"/>
        <c:crossBetween val="between"/>
        <c:maj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2017 - 2018</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'SEA Seahawks'!$D$307</c:f>
              <c:strCache>
                <c:ptCount val="1"/>
                <c:pt idx="0">
                  <c:v>week</c:v>
                </c:pt>
              </c:strCache>
            </c:strRef>
          </c:tx>
          <c:spPr>
            <a:ln w="28575" cap="rnd">
              <a:solidFill>
                <a:schemeClr val="accent1"/>
              </a:solidFill>
              <a:round/>
            </a:ln>
            <a:effectLst/>
          </c:spPr>
          <c:marker>
            <c:symbol val="none"/>
          </c:marker>
          <c:cat>
            <c:strLit>
              <c:ptCount val="8"/>
              <c:pt idx="0">
                <c:v>2</c:v>
              </c:pt>
              <c:pt idx="1">
                <c:v>4</c:v>
              </c:pt>
              <c:pt idx="2">
                <c:v>8</c:v>
              </c:pt>
              <c:pt idx="3">
                <c:v>9</c:v>
              </c:pt>
              <c:pt idx="4">
                <c:v>11</c:v>
              </c:pt>
              <c:pt idx="5">
                <c:v>13</c:v>
              </c:pt>
              <c:pt idx="6">
                <c:v>15</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'SEA Seahawks'!$D$308:$D$324</c15:sqref>
                  </c15:fullRef>
                </c:ext>
              </c:extLst>
              <c:f>('SEA Seahawks'!$D$309,'SEA Seahawks'!$D$311,'SEA Seahawks'!$D$315:$D$316,'SEA Seahawks'!$D$318,'SEA Seahawks'!$D$320,'SEA Seahawks'!$D$322,'SEA Seahawks'!$D$324)</c:f>
              <c:numCache>
                <c:formatCode>General</c:formatCode>
                <c:ptCount val="8"/>
                <c:pt idx="0">
                  <c:v>2</c:v>
                </c:pt>
                <c:pt idx="1">
                  <c:v>4</c:v>
                </c:pt>
                <c:pt idx="2">
                  <c:v>8</c:v>
                </c:pt>
                <c:pt idx="3">
                  <c:v>9</c:v>
                </c:pt>
                <c:pt idx="4">
                  <c:v>11</c:v>
                </c:pt>
                <c:pt idx="5">
                  <c:v>13</c:v>
                </c:pt>
                <c:pt idx="6">
                  <c:v>15</c:v>
                </c:pt>
                <c:pt idx="7">
                  <c:v>17</c:v>
                </c:pt>
              </c:numCache>
            </c:numRef>
          </c:val>
          <c:smooth val="0"/>
          <c:extLst>
            <c:ext xmlns:c16="http://schemas.microsoft.com/office/drawing/2014/chart" uri="{C3380CC4-5D6E-409C-BE32-E72D297353CC}">
              <c16:uniqueId val="{00000000-F053-4F36-B463-AB5873FF9C0B}"/>
            </c:ext>
          </c:extLst>
        </c:ser>
        <c:ser>
          <c:idx val="1"/>
          <c:order val="1"/>
          <c:tx>
            <c:strRef>
              <c:f>'SEA Seahawks'!$E$307</c:f>
              <c:strCache>
                <c:ptCount val="1"/>
                <c:pt idx="0">
                  <c:v>weekly_attendance</c:v>
                </c:pt>
              </c:strCache>
            </c:strRef>
          </c:tx>
          <c:spPr>
            <a:ln w="28575" cap="rnd">
              <a:solidFill>
                <a:schemeClr val="accent2"/>
              </a:solidFill>
              <a:round/>
            </a:ln>
            <a:effectLst/>
          </c:spPr>
          <c:marker>
            <c:symbol val="none"/>
          </c:marker>
          <c:cat>
            <c:strLit>
              <c:ptCount val="8"/>
              <c:pt idx="0">
                <c:v>2</c:v>
              </c:pt>
              <c:pt idx="1">
                <c:v>4</c:v>
              </c:pt>
              <c:pt idx="2">
                <c:v>8</c:v>
              </c:pt>
              <c:pt idx="3">
                <c:v>9</c:v>
              </c:pt>
              <c:pt idx="4">
                <c:v>11</c:v>
              </c:pt>
              <c:pt idx="5">
                <c:v>13</c:v>
              </c:pt>
              <c:pt idx="6">
                <c:v>15</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'SEA Seahawks'!$E$308:$E$324</c15:sqref>
                  </c15:fullRef>
                </c:ext>
              </c:extLst>
              <c:f>('SEA Seahawks'!$E$309,'SEA Seahawks'!$E$311,'SEA Seahawks'!$E$315:$E$316,'SEA Seahawks'!$E$318,'SEA Seahawks'!$E$320,'SEA Seahawks'!$E$322,'SEA Seahawks'!$E$324)</c:f>
              <c:numCache>
                <c:formatCode>General</c:formatCode>
                <c:ptCount val="8"/>
                <c:pt idx="0">
                  <c:v>68729</c:v>
                </c:pt>
                <c:pt idx="1">
                  <c:v>68872</c:v>
                </c:pt>
                <c:pt idx="2">
                  <c:v>69025</c:v>
                </c:pt>
                <c:pt idx="3">
                  <c:v>68927</c:v>
                </c:pt>
                <c:pt idx="4">
                  <c:v>69026</c:v>
                </c:pt>
                <c:pt idx="5">
                  <c:v>69075</c:v>
                </c:pt>
                <c:pt idx="6">
                  <c:v>69077</c:v>
                </c:pt>
                <c:pt idx="7">
                  <c:v>69078</c:v>
                </c:pt>
              </c:numCache>
            </c:numRef>
          </c:val>
          <c:smooth val="0"/>
          <c:extLst>
            <c:ext xmlns:c16="http://schemas.microsoft.com/office/drawing/2014/chart" uri="{C3380CC4-5D6E-409C-BE32-E72D297353CC}">
              <c16:uniqueId val="{00000001-F053-4F36-B463-AB5873FF9C0B}"/>
            </c:ext>
          </c:extLst>
        </c:ser>
        <c:dLbls>
          <c:showLegendKey val="0"/>
          <c:showVal val="0"/>
          <c:showCatName val="0"/>
          <c:showSerName val="0"/>
          <c:showPercent val="0"/>
          <c:showBubbleSize val="0"/>
        </c:dLbls>
        <c:smooth val="0"/>
        <c:axId val="646835696"/>
        <c:axId val="646836176"/>
      </c:lineChart>
      <c:catAx>
        <c:axId val="64683569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6836176"/>
        <c:crosses val="autoZero"/>
        <c:auto val="1"/>
        <c:lblAlgn val="ctr"/>
        <c:lblOffset val="100"/>
        <c:noMultiLvlLbl val="0"/>
      </c:catAx>
      <c:valAx>
        <c:axId val="646836176"/>
        <c:scaling>
          <c:orientation val="minMax"/>
          <c:min val="66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6835696"/>
        <c:crosses val="autoZero"/>
        <c:crossBetween val="between"/>
        <c:maj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2018 - 2019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'SEA Seahawks'!$D$325</c:f>
              <c:strCache>
                <c:ptCount val="1"/>
                <c:pt idx="0">
                  <c:v>week</c:v>
                </c:pt>
              </c:strCache>
            </c:strRef>
          </c:tx>
          <c:spPr>
            <a:ln w="28575" cap="rnd">
              <a:solidFill>
                <a:schemeClr val="accent1"/>
              </a:solidFill>
              <a:round/>
            </a:ln>
            <a:effectLst/>
          </c:spPr>
          <c:marker>
            <c:symbol val="none"/>
          </c:marker>
          <c:cat>
            <c:strLit>
              <c:ptCount val="8"/>
              <c:pt idx="0">
                <c:v>3</c:v>
              </c:pt>
              <c:pt idx="1">
                <c:v>5</c:v>
              </c:pt>
              <c:pt idx="2">
                <c:v>9</c:v>
              </c:pt>
              <c:pt idx="3">
                <c:v>11</c:v>
              </c:pt>
              <c:pt idx="4">
                <c:v>13</c:v>
              </c:pt>
              <c:pt idx="5">
                <c:v>14</c:v>
              </c:pt>
              <c:pt idx="6">
                <c:v>16</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'SEA Seahawks'!$D$326:$D$342</c15:sqref>
                  </c15:fullRef>
                </c:ext>
              </c:extLst>
              <c:f>('SEA Seahawks'!$D$328,'SEA Seahawks'!$D$330,'SEA Seahawks'!$D$334,'SEA Seahawks'!$D$336,'SEA Seahawks'!$D$338:$D$339,'SEA Seahawks'!$D$341:$D$342)</c:f>
              <c:numCache>
                <c:formatCode>General</c:formatCode>
                <c:ptCount val="8"/>
                <c:pt idx="0">
                  <c:v>3</c:v>
                </c:pt>
                <c:pt idx="1">
                  <c:v>5</c:v>
                </c:pt>
                <c:pt idx="2">
                  <c:v>9</c:v>
                </c:pt>
                <c:pt idx="3">
                  <c:v>11</c:v>
                </c:pt>
                <c:pt idx="4">
                  <c:v>13</c:v>
                </c:pt>
                <c:pt idx="5">
                  <c:v>14</c:v>
                </c:pt>
                <c:pt idx="6">
                  <c:v>16</c:v>
                </c:pt>
                <c:pt idx="7">
                  <c:v>17</c:v>
                </c:pt>
              </c:numCache>
            </c:numRef>
          </c:val>
          <c:smooth val="0"/>
          <c:extLst>
            <c:ext xmlns:c16="http://schemas.microsoft.com/office/drawing/2014/chart" uri="{C3380CC4-5D6E-409C-BE32-E72D297353CC}">
              <c16:uniqueId val="{00000000-C6EA-443D-B954-27A6417DDB13}"/>
            </c:ext>
          </c:extLst>
        </c:ser>
        <c:ser>
          <c:idx val="1"/>
          <c:order val="1"/>
          <c:tx>
            <c:strRef>
              <c:f>'SEA Seahawks'!$E$325</c:f>
              <c:strCache>
                <c:ptCount val="1"/>
                <c:pt idx="0">
                  <c:v>weekly_attendance</c:v>
                </c:pt>
              </c:strCache>
            </c:strRef>
          </c:tx>
          <c:spPr>
            <a:ln w="28575" cap="rnd">
              <a:solidFill>
                <a:schemeClr val="accent2"/>
              </a:solidFill>
              <a:round/>
            </a:ln>
            <a:effectLst/>
          </c:spPr>
          <c:marker>
            <c:symbol val="none"/>
          </c:marker>
          <c:cat>
            <c:strLit>
              <c:ptCount val="8"/>
              <c:pt idx="0">
                <c:v>3</c:v>
              </c:pt>
              <c:pt idx="1">
                <c:v>5</c:v>
              </c:pt>
              <c:pt idx="2">
                <c:v>9</c:v>
              </c:pt>
              <c:pt idx="3">
                <c:v>11</c:v>
              </c:pt>
              <c:pt idx="4">
                <c:v>13</c:v>
              </c:pt>
              <c:pt idx="5">
                <c:v>14</c:v>
              </c:pt>
              <c:pt idx="6">
                <c:v>16</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'SEA Seahawks'!$E$326:$E$342</c15:sqref>
                  </c15:fullRef>
                </c:ext>
              </c:extLst>
              <c:f>('SEA Seahawks'!$E$328,'SEA Seahawks'!$E$330,'SEA Seahawks'!$E$334,'SEA Seahawks'!$E$336,'SEA Seahawks'!$E$338:$E$339,'SEA Seahawks'!$E$341:$E$342)</c:f>
              <c:numCache>
                <c:formatCode>General</c:formatCode>
                <c:ptCount val="8"/>
                <c:pt idx="0">
                  <c:v>69047</c:v>
                </c:pt>
                <c:pt idx="1">
                  <c:v>68893</c:v>
                </c:pt>
                <c:pt idx="2">
                  <c:v>68989</c:v>
                </c:pt>
                <c:pt idx="3">
                  <c:v>69007</c:v>
                </c:pt>
                <c:pt idx="4">
                  <c:v>69009</c:v>
                </c:pt>
                <c:pt idx="5">
                  <c:v>69007</c:v>
                </c:pt>
                <c:pt idx="6">
                  <c:v>69067</c:v>
                </c:pt>
                <c:pt idx="7">
                  <c:v>68990</c:v>
                </c:pt>
              </c:numCache>
            </c:numRef>
          </c:val>
          <c:smooth val="0"/>
          <c:extLst>
            <c:ext xmlns:c16="http://schemas.microsoft.com/office/drawing/2014/chart" uri="{C3380CC4-5D6E-409C-BE32-E72D297353CC}">
              <c16:uniqueId val="{00000001-C6EA-443D-B954-27A6417DDB13}"/>
            </c:ext>
          </c:extLst>
        </c:ser>
        <c:dLbls>
          <c:showLegendKey val="0"/>
          <c:showVal val="0"/>
          <c:showCatName val="0"/>
          <c:showSerName val="0"/>
          <c:showPercent val="0"/>
          <c:showBubbleSize val="0"/>
        </c:dLbls>
        <c:smooth val="0"/>
        <c:axId val="1055900608"/>
        <c:axId val="1055901088"/>
      </c:lineChart>
      <c:catAx>
        <c:axId val="105590060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5901088"/>
        <c:crosses val="autoZero"/>
        <c:auto val="1"/>
        <c:lblAlgn val="ctr"/>
        <c:lblOffset val="100"/>
        <c:noMultiLvlLbl val="0"/>
      </c:catAx>
      <c:valAx>
        <c:axId val="1055901088"/>
        <c:scaling>
          <c:orientation val="minMax"/>
          <c:min val="66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5900608"/>
        <c:crosses val="autoZero"/>
        <c:crossBetween val="between"/>
        <c:maj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2019 - 2020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'SEA Seahawks'!$D$343</c:f>
              <c:strCache>
                <c:ptCount val="1"/>
                <c:pt idx="0">
                  <c:v>week</c:v>
                </c:pt>
              </c:strCache>
            </c:strRef>
          </c:tx>
          <c:spPr>
            <a:ln w="28575" cap="rnd">
              <a:solidFill>
                <a:schemeClr val="accent1"/>
              </a:solidFill>
              <a:round/>
            </a:ln>
            <a:effectLst/>
          </c:spPr>
          <c:marker>
            <c:symbol val="none"/>
          </c:marker>
          <c:cat>
            <c:strLit>
              <c:ptCount val="8"/>
              <c:pt idx="0">
                <c:v>1</c:v>
              </c:pt>
              <c:pt idx="1">
                <c:v>3</c:v>
              </c:pt>
              <c:pt idx="2">
                <c:v>5</c:v>
              </c:pt>
              <c:pt idx="3">
                <c:v>7</c:v>
              </c:pt>
              <c:pt idx="4">
                <c:v>9</c:v>
              </c:pt>
              <c:pt idx="5">
                <c:v>13</c:v>
              </c:pt>
              <c:pt idx="6">
                <c:v>16</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'SEA Seahawks'!$D$344:$D$360</c15:sqref>
                  </c15:fullRef>
                </c:ext>
              </c:extLst>
              <c:f>('SEA Seahawks'!$D$344,'SEA Seahawks'!$D$346,'SEA Seahawks'!$D$348,'SEA Seahawks'!$D$350,'SEA Seahawks'!$D$352,'SEA Seahawks'!$D$356,'SEA Seahawks'!$D$359:$D$360)</c:f>
              <c:numCache>
                <c:formatCode>General</c:formatCode>
                <c:ptCount val="8"/>
                <c:pt idx="0">
                  <c:v>1</c:v>
                </c:pt>
                <c:pt idx="1">
                  <c:v>3</c:v>
                </c:pt>
                <c:pt idx="2">
                  <c:v>5</c:v>
                </c:pt>
                <c:pt idx="3">
                  <c:v>7</c:v>
                </c:pt>
                <c:pt idx="4">
                  <c:v>9</c:v>
                </c:pt>
                <c:pt idx="5">
                  <c:v>13</c:v>
                </c:pt>
                <c:pt idx="6">
                  <c:v>16</c:v>
                </c:pt>
                <c:pt idx="7">
                  <c:v>17</c:v>
                </c:pt>
              </c:numCache>
            </c:numRef>
          </c:val>
          <c:smooth val="0"/>
          <c:extLst>
            <c:ext xmlns:c16="http://schemas.microsoft.com/office/drawing/2014/chart" uri="{C3380CC4-5D6E-409C-BE32-E72D297353CC}">
              <c16:uniqueId val="{00000000-FEB3-4BF6-AA2E-106FF563957E}"/>
            </c:ext>
          </c:extLst>
        </c:ser>
        <c:ser>
          <c:idx val="1"/>
          <c:order val="1"/>
          <c:tx>
            <c:strRef>
              <c:f>'SEA Seahawks'!$E$343</c:f>
              <c:strCache>
                <c:ptCount val="1"/>
                <c:pt idx="0">
                  <c:v>weekly_attendance</c:v>
                </c:pt>
              </c:strCache>
            </c:strRef>
          </c:tx>
          <c:spPr>
            <a:ln w="28575" cap="rnd">
              <a:solidFill>
                <a:schemeClr val="accent2"/>
              </a:solidFill>
              <a:round/>
            </a:ln>
            <a:effectLst/>
          </c:spPr>
          <c:marker>
            <c:symbol val="none"/>
          </c:marker>
          <c:cat>
            <c:strLit>
              <c:ptCount val="8"/>
              <c:pt idx="0">
                <c:v>1</c:v>
              </c:pt>
              <c:pt idx="1">
                <c:v>3</c:v>
              </c:pt>
              <c:pt idx="2">
                <c:v>5</c:v>
              </c:pt>
              <c:pt idx="3">
                <c:v>7</c:v>
              </c:pt>
              <c:pt idx="4">
                <c:v>9</c:v>
              </c:pt>
              <c:pt idx="5">
                <c:v>13</c:v>
              </c:pt>
              <c:pt idx="6">
                <c:v>16</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'SEA Seahawks'!$E$344:$E$360</c15:sqref>
                  </c15:fullRef>
                </c:ext>
              </c:extLst>
              <c:f>('SEA Seahawks'!$E$344,'SEA Seahawks'!$E$346,'SEA Seahawks'!$E$348,'SEA Seahawks'!$E$350,'SEA Seahawks'!$E$352,'SEA Seahawks'!$E$356,'SEA Seahawks'!$E$359:$E$360)</c:f>
              <c:numCache>
                <c:formatCode>General</c:formatCode>
                <c:ptCount val="8"/>
                <c:pt idx="0">
                  <c:v>68710</c:v>
                </c:pt>
                <c:pt idx="1">
                  <c:v>69005</c:v>
                </c:pt>
                <c:pt idx="2">
                  <c:v>68988</c:v>
                </c:pt>
                <c:pt idx="3">
                  <c:v>69012</c:v>
                </c:pt>
                <c:pt idx="4">
                  <c:v>68948</c:v>
                </c:pt>
                <c:pt idx="5">
                  <c:v>69080</c:v>
                </c:pt>
                <c:pt idx="6">
                  <c:v>69022</c:v>
                </c:pt>
                <c:pt idx="7">
                  <c:v>69162</c:v>
                </c:pt>
              </c:numCache>
            </c:numRef>
          </c:val>
          <c:smooth val="0"/>
          <c:extLst>
            <c:ext xmlns:c16="http://schemas.microsoft.com/office/drawing/2014/chart" uri="{C3380CC4-5D6E-409C-BE32-E72D297353CC}">
              <c16:uniqueId val="{00000001-FEB3-4BF6-AA2E-106FF563957E}"/>
            </c:ext>
          </c:extLst>
        </c:ser>
        <c:dLbls>
          <c:showLegendKey val="0"/>
          <c:showVal val="0"/>
          <c:showCatName val="0"/>
          <c:showSerName val="0"/>
          <c:showPercent val="0"/>
          <c:showBubbleSize val="0"/>
        </c:dLbls>
        <c:smooth val="0"/>
        <c:axId val="646792976"/>
        <c:axId val="646784816"/>
      </c:lineChart>
      <c:catAx>
        <c:axId val="64679297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6784816"/>
        <c:crosses val="autoZero"/>
        <c:auto val="1"/>
        <c:lblAlgn val="ctr"/>
        <c:lblOffset val="100"/>
        <c:noMultiLvlLbl val="0"/>
      </c:catAx>
      <c:valAx>
        <c:axId val="646784816"/>
        <c:scaling>
          <c:orientation val="minMax"/>
          <c:min val="66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6792976"/>
        <c:crosses val="autoZero"/>
        <c:crossBetween val="between"/>
        <c:maj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2000 - 2001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'LA STL Rams'!$D$1</c:f>
              <c:strCache>
                <c:ptCount val="1"/>
                <c:pt idx="0">
                  <c:v>week</c:v>
                </c:pt>
              </c:strCache>
            </c:strRef>
          </c:tx>
          <c:spPr>
            <a:ln w="28575" cap="rnd">
              <a:solidFill>
                <a:schemeClr val="accent1"/>
              </a:solidFill>
              <a:round/>
            </a:ln>
            <a:effectLst/>
          </c:spPr>
          <c:marker>
            <c:symbol val="none"/>
          </c:marker>
          <c:cat>
            <c:strLit>
              <c:ptCount val="8"/>
              <c:pt idx="0">
                <c:v>1</c:v>
              </c:pt>
              <c:pt idx="1">
                <c:v>3</c:v>
              </c:pt>
              <c:pt idx="2">
                <c:v>5</c:v>
              </c:pt>
              <c:pt idx="3">
                <c:v>7</c:v>
              </c:pt>
              <c:pt idx="4">
                <c:v>10</c:v>
              </c:pt>
              <c:pt idx="5">
                <c:v>12</c:v>
              </c:pt>
              <c:pt idx="6">
                <c:v>13</c:v>
              </c:pt>
              <c:pt idx="7">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'LA STL Rams'!$D$2:$D$18</c15:sqref>
                  </c15:fullRef>
                </c:ext>
              </c:extLst>
              <c:f>('LA STL Rams'!$D$2,'LA STL Rams'!$D$4,'LA STL Rams'!$D$6,'LA STL Rams'!$D$8,'LA STL Rams'!$D$11,'LA STL Rams'!$D$13:$D$14,'LA STL Rams'!$D$16)</c:f>
              <c:numCache>
                <c:formatCode>General</c:formatCode>
                <c:ptCount val="8"/>
                <c:pt idx="0">
                  <c:v>1</c:v>
                </c:pt>
                <c:pt idx="1">
                  <c:v>3</c:v>
                </c:pt>
                <c:pt idx="2">
                  <c:v>5</c:v>
                </c:pt>
                <c:pt idx="3">
                  <c:v>7</c:v>
                </c:pt>
                <c:pt idx="4">
                  <c:v>10</c:v>
                </c:pt>
                <c:pt idx="5">
                  <c:v>12</c:v>
                </c:pt>
                <c:pt idx="6">
                  <c:v>13</c:v>
                </c:pt>
                <c:pt idx="7">
                  <c:v>15</c:v>
                </c:pt>
              </c:numCache>
            </c:numRef>
          </c:val>
          <c:smooth val="0"/>
          <c:extLst>
            <c:ext xmlns:c16="http://schemas.microsoft.com/office/drawing/2014/chart" uri="{C3380CC4-5D6E-409C-BE32-E72D297353CC}">
              <c16:uniqueId val="{00000000-9899-4BFB-8326-B7223314DB91}"/>
            </c:ext>
          </c:extLst>
        </c:ser>
        <c:ser>
          <c:idx val="1"/>
          <c:order val="1"/>
          <c:tx>
            <c:strRef>
              <c:f>'LA STL Rams'!$E$1</c:f>
              <c:strCache>
                <c:ptCount val="1"/>
                <c:pt idx="0">
                  <c:v>weekly_attendance</c:v>
                </c:pt>
              </c:strCache>
            </c:strRef>
          </c:tx>
          <c:spPr>
            <a:ln w="28575" cap="rnd">
              <a:solidFill>
                <a:schemeClr val="accent2"/>
              </a:solidFill>
              <a:round/>
            </a:ln>
            <a:effectLst/>
          </c:spPr>
          <c:marker>
            <c:symbol val="none"/>
          </c:marker>
          <c:cat>
            <c:strLit>
              <c:ptCount val="8"/>
              <c:pt idx="0">
                <c:v>1</c:v>
              </c:pt>
              <c:pt idx="1">
                <c:v>3</c:v>
              </c:pt>
              <c:pt idx="2">
                <c:v>5</c:v>
              </c:pt>
              <c:pt idx="3">
                <c:v>7</c:v>
              </c:pt>
              <c:pt idx="4">
                <c:v>10</c:v>
              </c:pt>
              <c:pt idx="5">
                <c:v>12</c:v>
              </c:pt>
              <c:pt idx="6">
                <c:v>13</c:v>
              </c:pt>
              <c:pt idx="7">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'LA STL Rams'!$E$2:$E$18</c15:sqref>
                  </c15:fullRef>
                </c:ext>
              </c:extLst>
              <c:f>('LA STL Rams'!$E$2,'LA STL Rams'!$E$4,'LA STL Rams'!$E$6,'LA STL Rams'!$E$8,'LA STL Rams'!$E$11,'LA STL Rams'!$E$13:$E$14,'LA STL Rams'!$E$16)</c:f>
              <c:numCache>
                <c:formatCode>General</c:formatCode>
                <c:ptCount val="8"/>
                <c:pt idx="0">
                  <c:v>65956</c:v>
                </c:pt>
                <c:pt idx="1">
                  <c:v>65945</c:v>
                </c:pt>
                <c:pt idx="2">
                  <c:v>66010</c:v>
                </c:pt>
                <c:pt idx="3">
                  <c:v>66019</c:v>
                </c:pt>
                <c:pt idx="4">
                  <c:v>66048</c:v>
                </c:pt>
                <c:pt idx="5">
                  <c:v>66087</c:v>
                </c:pt>
                <c:pt idx="6">
                  <c:v>66064</c:v>
                </c:pt>
                <c:pt idx="7">
                  <c:v>66273</c:v>
                </c:pt>
              </c:numCache>
            </c:numRef>
          </c:val>
          <c:smooth val="0"/>
          <c:extLst>
            <c:ext xmlns:c16="http://schemas.microsoft.com/office/drawing/2014/chart" uri="{C3380CC4-5D6E-409C-BE32-E72D297353CC}">
              <c16:uniqueId val="{00000001-9899-4BFB-8326-B7223314DB91}"/>
            </c:ext>
          </c:extLst>
        </c:ser>
        <c:dLbls>
          <c:showLegendKey val="0"/>
          <c:showVal val="0"/>
          <c:showCatName val="0"/>
          <c:showSerName val="0"/>
          <c:showPercent val="0"/>
          <c:showBubbleSize val="0"/>
        </c:dLbls>
        <c:smooth val="0"/>
        <c:axId val="1190011008"/>
        <c:axId val="1190012448"/>
      </c:lineChart>
      <c:catAx>
        <c:axId val="119001100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0012448"/>
        <c:crosses val="autoZero"/>
        <c:auto val="1"/>
        <c:lblAlgn val="ctr"/>
        <c:lblOffset val="100"/>
        <c:noMultiLvlLbl val="0"/>
      </c:catAx>
      <c:valAx>
        <c:axId val="1190012448"/>
        <c:scaling>
          <c:orientation val="minMax"/>
          <c:max val="66500"/>
          <c:min val="60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0011008"/>
        <c:crosses val="autoZero"/>
        <c:crossBetween val="between"/>
        <c:maj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2001 - 2002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'LA STL Rams'!$D$19</c:f>
              <c:strCache>
                <c:ptCount val="1"/>
                <c:pt idx="0">
                  <c:v>week</c:v>
                </c:pt>
              </c:strCache>
            </c:strRef>
          </c:tx>
          <c:spPr>
            <a:ln w="28575" cap="rnd">
              <a:solidFill>
                <a:schemeClr val="accent1"/>
              </a:solidFill>
              <a:round/>
            </a:ln>
            <a:effectLst/>
          </c:spPr>
          <c:marker>
            <c:symbol val="none"/>
          </c:marker>
          <c:cat>
            <c:strLit>
              <c:ptCount val="8"/>
              <c:pt idx="0">
                <c:v>3</c:v>
              </c:pt>
              <c:pt idx="1">
                <c:v>5</c:v>
              </c:pt>
              <c:pt idx="2">
                <c:v>7</c:v>
              </c:pt>
              <c:pt idx="3">
                <c:v>9</c:v>
              </c:pt>
              <c:pt idx="4">
                <c:v>11</c:v>
              </c:pt>
              <c:pt idx="5">
                <c:v>13</c:v>
              </c:pt>
              <c:pt idx="6">
                <c:v>16</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'LA STL Rams'!$D$20:$D$36</c15:sqref>
                  </c15:fullRef>
                </c:ext>
              </c:extLst>
              <c:f>('LA STL Rams'!$D$22,'LA STL Rams'!$D$24,'LA STL Rams'!$D$26,'LA STL Rams'!$D$28,'LA STL Rams'!$D$30,'LA STL Rams'!$D$32,'LA STL Rams'!$D$35:$D$36)</c:f>
              <c:numCache>
                <c:formatCode>General</c:formatCode>
                <c:ptCount val="8"/>
                <c:pt idx="0">
                  <c:v>3</c:v>
                </c:pt>
                <c:pt idx="1">
                  <c:v>5</c:v>
                </c:pt>
                <c:pt idx="2">
                  <c:v>7</c:v>
                </c:pt>
                <c:pt idx="3">
                  <c:v>9</c:v>
                </c:pt>
                <c:pt idx="4">
                  <c:v>11</c:v>
                </c:pt>
                <c:pt idx="5">
                  <c:v>13</c:v>
                </c:pt>
                <c:pt idx="6">
                  <c:v>16</c:v>
                </c:pt>
                <c:pt idx="7">
                  <c:v>17</c:v>
                </c:pt>
              </c:numCache>
            </c:numRef>
          </c:val>
          <c:smooth val="0"/>
          <c:extLst>
            <c:ext xmlns:c16="http://schemas.microsoft.com/office/drawing/2014/chart" uri="{C3380CC4-5D6E-409C-BE32-E72D297353CC}">
              <c16:uniqueId val="{00000000-270C-408E-92D9-28D0138333A9}"/>
            </c:ext>
          </c:extLst>
        </c:ser>
        <c:ser>
          <c:idx val="1"/>
          <c:order val="1"/>
          <c:tx>
            <c:strRef>
              <c:f>'LA STL Rams'!$E$19</c:f>
              <c:strCache>
                <c:ptCount val="1"/>
                <c:pt idx="0">
                  <c:v>weekly_attendance</c:v>
                </c:pt>
              </c:strCache>
            </c:strRef>
          </c:tx>
          <c:spPr>
            <a:ln w="28575" cap="rnd">
              <a:solidFill>
                <a:schemeClr val="accent2"/>
              </a:solidFill>
              <a:round/>
            </a:ln>
            <a:effectLst/>
          </c:spPr>
          <c:marker>
            <c:symbol val="none"/>
          </c:marker>
          <c:cat>
            <c:strLit>
              <c:ptCount val="8"/>
              <c:pt idx="0">
                <c:v>3</c:v>
              </c:pt>
              <c:pt idx="1">
                <c:v>5</c:v>
              </c:pt>
              <c:pt idx="2">
                <c:v>7</c:v>
              </c:pt>
              <c:pt idx="3">
                <c:v>9</c:v>
              </c:pt>
              <c:pt idx="4">
                <c:v>11</c:v>
              </c:pt>
              <c:pt idx="5">
                <c:v>13</c:v>
              </c:pt>
              <c:pt idx="6">
                <c:v>16</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'LA STL Rams'!$E$20:$E$36</c15:sqref>
                  </c15:fullRef>
                </c:ext>
              </c:extLst>
              <c:f>('LA STL Rams'!$E$22,'LA STL Rams'!$E$24,'LA STL Rams'!$E$26,'LA STL Rams'!$E$28,'LA STL Rams'!$E$30,'LA STL Rams'!$E$32,'LA STL Rams'!$E$35:$E$36)</c:f>
              <c:numCache>
                <c:formatCode>General</c:formatCode>
                <c:ptCount val="8"/>
                <c:pt idx="0">
                  <c:v>66046</c:v>
                </c:pt>
                <c:pt idx="1">
                  <c:v>65992</c:v>
                </c:pt>
                <c:pt idx="2">
                  <c:v>66189</c:v>
                </c:pt>
                <c:pt idx="3">
                  <c:v>66069</c:v>
                </c:pt>
                <c:pt idx="4">
                  <c:v>66198</c:v>
                </c:pt>
                <c:pt idx="5">
                  <c:v>66218</c:v>
                </c:pt>
                <c:pt idx="6">
                  <c:v>66084</c:v>
                </c:pt>
                <c:pt idx="7">
                  <c:v>66033</c:v>
                </c:pt>
              </c:numCache>
            </c:numRef>
          </c:val>
          <c:smooth val="0"/>
          <c:extLst>
            <c:ext xmlns:c16="http://schemas.microsoft.com/office/drawing/2014/chart" uri="{C3380CC4-5D6E-409C-BE32-E72D297353CC}">
              <c16:uniqueId val="{00000001-270C-408E-92D9-28D0138333A9}"/>
            </c:ext>
          </c:extLst>
        </c:ser>
        <c:dLbls>
          <c:showLegendKey val="0"/>
          <c:showVal val="0"/>
          <c:showCatName val="0"/>
          <c:showSerName val="0"/>
          <c:showPercent val="0"/>
          <c:showBubbleSize val="0"/>
        </c:dLbls>
        <c:smooth val="0"/>
        <c:axId val="845940304"/>
        <c:axId val="1129428544"/>
      </c:lineChart>
      <c:catAx>
        <c:axId val="845940304"/>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9428544"/>
        <c:crosses val="autoZero"/>
        <c:auto val="1"/>
        <c:lblAlgn val="ctr"/>
        <c:lblOffset val="100"/>
        <c:noMultiLvlLbl val="0"/>
      </c:catAx>
      <c:valAx>
        <c:axId val="1129428544"/>
        <c:scaling>
          <c:orientation val="minMax"/>
          <c:min val="60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5940304"/>
        <c:crosses val="autoZero"/>
        <c:crossBetween val="between"/>
        <c:maj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2002 - 2003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'LA STL Rams'!$D$37</c:f>
              <c:strCache>
                <c:ptCount val="1"/>
                <c:pt idx="0">
                  <c:v>week</c:v>
                </c:pt>
              </c:strCache>
            </c:strRef>
          </c:tx>
          <c:spPr>
            <a:ln w="28575" cap="rnd">
              <a:solidFill>
                <a:schemeClr val="accent1"/>
              </a:solidFill>
              <a:round/>
            </a:ln>
            <a:effectLst/>
          </c:spPr>
          <c:marker>
            <c:symbol val="none"/>
          </c:marker>
          <c:cat>
            <c:strLit>
              <c:ptCount val="8"/>
              <c:pt idx="0">
                <c:v>2</c:v>
              </c:pt>
              <c:pt idx="1">
                <c:v>4</c:v>
              </c:pt>
              <c:pt idx="2">
                <c:v>6</c:v>
              </c:pt>
              <c:pt idx="3">
                <c:v>7</c:v>
              </c:pt>
              <c:pt idx="4">
                <c:v>10</c:v>
              </c:pt>
              <c:pt idx="5">
                <c:v>11</c:v>
              </c:pt>
              <c:pt idx="6">
                <c:v>15</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'LA STL Rams'!$D$38:$D$54</c15:sqref>
                  </c15:fullRef>
                </c:ext>
              </c:extLst>
              <c:f>('LA STL Rams'!$D$39,'LA STL Rams'!$D$41,'LA STL Rams'!$D$43:$D$44,'LA STL Rams'!$D$47:$D$48,'LA STL Rams'!$D$52,'LA STL Rams'!$D$54)</c:f>
              <c:numCache>
                <c:formatCode>General</c:formatCode>
                <c:ptCount val="8"/>
                <c:pt idx="0">
                  <c:v>2</c:v>
                </c:pt>
                <c:pt idx="1">
                  <c:v>4</c:v>
                </c:pt>
                <c:pt idx="2">
                  <c:v>6</c:v>
                </c:pt>
                <c:pt idx="3">
                  <c:v>7</c:v>
                </c:pt>
                <c:pt idx="4">
                  <c:v>10</c:v>
                </c:pt>
                <c:pt idx="5">
                  <c:v>11</c:v>
                </c:pt>
                <c:pt idx="6">
                  <c:v>15</c:v>
                </c:pt>
                <c:pt idx="7">
                  <c:v>17</c:v>
                </c:pt>
              </c:numCache>
            </c:numRef>
          </c:val>
          <c:smooth val="0"/>
          <c:extLst>
            <c:ext xmlns:c16="http://schemas.microsoft.com/office/drawing/2014/chart" uri="{C3380CC4-5D6E-409C-BE32-E72D297353CC}">
              <c16:uniqueId val="{00000000-10F4-4A6B-9E3A-E9CA8C8144CA}"/>
            </c:ext>
          </c:extLst>
        </c:ser>
        <c:ser>
          <c:idx val="1"/>
          <c:order val="1"/>
          <c:tx>
            <c:strRef>
              <c:f>'LA STL Rams'!$E$37</c:f>
              <c:strCache>
                <c:ptCount val="1"/>
                <c:pt idx="0">
                  <c:v>weekly_attendance</c:v>
                </c:pt>
              </c:strCache>
            </c:strRef>
          </c:tx>
          <c:spPr>
            <a:ln w="28575" cap="rnd">
              <a:solidFill>
                <a:schemeClr val="accent2"/>
              </a:solidFill>
              <a:round/>
            </a:ln>
            <a:effectLst/>
          </c:spPr>
          <c:marker>
            <c:symbol val="none"/>
          </c:marker>
          <c:cat>
            <c:strLit>
              <c:ptCount val="8"/>
              <c:pt idx="0">
                <c:v>2</c:v>
              </c:pt>
              <c:pt idx="1">
                <c:v>4</c:v>
              </c:pt>
              <c:pt idx="2">
                <c:v>6</c:v>
              </c:pt>
              <c:pt idx="3">
                <c:v>7</c:v>
              </c:pt>
              <c:pt idx="4">
                <c:v>10</c:v>
              </c:pt>
              <c:pt idx="5">
                <c:v>11</c:v>
              </c:pt>
              <c:pt idx="6">
                <c:v>15</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'LA STL Rams'!$E$38:$E$54</c15:sqref>
                  </c15:fullRef>
                </c:ext>
              </c:extLst>
              <c:f>('LA STL Rams'!$E$39,'LA STL Rams'!$E$41,'LA STL Rams'!$E$43:$E$44,'LA STL Rams'!$E$47:$E$48,'LA STL Rams'!$E$52,'LA STL Rams'!$E$54)</c:f>
              <c:numCache>
                <c:formatCode>General</c:formatCode>
                <c:ptCount val="8"/>
                <c:pt idx="0">
                  <c:v>65932</c:v>
                </c:pt>
                <c:pt idx="1">
                  <c:v>66165</c:v>
                </c:pt>
                <c:pt idx="2">
                  <c:v>66070</c:v>
                </c:pt>
                <c:pt idx="3">
                  <c:v>65931</c:v>
                </c:pt>
                <c:pt idx="4">
                  <c:v>66093</c:v>
                </c:pt>
                <c:pt idx="5">
                  <c:v>66250</c:v>
                </c:pt>
                <c:pt idx="6">
                  <c:v>65939</c:v>
                </c:pt>
                <c:pt idx="7">
                  <c:v>66118</c:v>
                </c:pt>
              </c:numCache>
            </c:numRef>
          </c:val>
          <c:smooth val="0"/>
          <c:extLst>
            <c:ext xmlns:c16="http://schemas.microsoft.com/office/drawing/2014/chart" uri="{C3380CC4-5D6E-409C-BE32-E72D297353CC}">
              <c16:uniqueId val="{00000001-10F4-4A6B-9E3A-E9CA8C8144CA}"/>
            </c:ext>
          </c:extLst>
        </c:ser>
        <c:dLbls>
          <c:showLegendKey val="0"/>
          <c:showVal val="0"/>
          <c:showCatName val="0"/>
          <c:showSerName val="0"/>
          <c:showPercent val="0"/>
          <c:showBubbleSize val="0"/>
        </c:dLbls>
        <c:smooth val="0"/>
        <c:axId val="646795376"/>
        <c:axId val="646789616"/>
      </c:lineChart>
      <c:catAx>
        <c:axId val="64679537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6789616"/>
        <c:crosses val="autoZero"/>
        <c:auto val="1"/>
        <c:lblAlgn val="ctr"/>
        <c:lblOffset val="100"/>
        <c:noMultiLvlLbl val="0"/>
      </c:catAx>
      <c:valAx>
        <c:axId val="646789616"/>
        <c:scaling>
          <c:orientation val="minMax"/>
          <c:min val="60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6795376"/>
        <c:crosses val="autoZero"/>
        <c:crossBetween val="between"/>
        <c:maj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2003 - 2004</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'LA STL Rams'!$D$55</c:f>
              <c:strCache>
                <c:ptCount val="1"/>
                <c:pt idx="0">
                  <c:v>week</c:v>
                </c:pt>
              </c:strCache>
            </c:strRef>
          </c:tx>
          <c:spPr>
            <a:ln w="28575" cap="rnd">
              <a:solidFill>
                <a:schemeClr val="accent1"/>
              </a:solidFill>
              <a:round/>
            </a:ln>
            <a:effectLst/>
          </c:spPr>
          <c:marker>
            <c:symbol val="none"/>
          </c:marker>
          <c:cat>
            <c:strLit>
              <c:ptCount val="8"/>
              <c:pt idx="0">
                <c:v>2</c:v>
              </c:pt>
              <c:pt idx="1">
                <c:v>4</c:v>
              </c:pt>
              <c:pt idx="2">
                <c:v>6</c:v>
              </c:pt>
              <c:pt idx="3">
                <c:v>7</c:v>
              </c:pt>
              <c:pt idx="4">
                <c:v>10</c:v>
              </c:pt>
              <c:pt idx="5">
                <c:v>13</c:v>
              </c:pt>
              <c:pt idx="6">
                <c:v>15</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'LA STL Rams'!$D$56:$D$72</c15:sqref>
                  </c15:fullRef>
                </c:ext>
              </c:extLst>
              <c:f>('LA STL Rams'!$D$57,'LA STL Rams'!$D$59,'LA STL Rams'!$D$61:$D$62,'LA STL Rams'!$D$65,'LA STL Rams'!$D$68,'LA STL Rams'!$D$70:$D$71)</c:f>
              <c:numCache>
                <c:formatCode>General</c:formatCode>
                <c:ptCount val="8"/>
                <c:pt idx="0">
                  <c:v>2</c:v>
                </c:pt>
                <c:pt idx="1">
                  <c:v>4</c:v>
                </c:pt>
                <c:pt idx="2">
                  <c:v>6</c:v>
                </c:pt>
                <c:pt idx="3">
                  <c:v>7</c:v>
                </c:pt>
                <c:pt idx="4">
                  <c:v>10</c:v>
                </c:pt>
                <c:pt idx="5">
                  <c:v>13</c:v>
                </c:pt>
                <c:pt idx="6">
                  <c:v>15</c:v>
                </c:pt>
                <c:pt idx="7">
                  <c:v>16</c:v>
                </c:pt>
              </c:numCache>
            </c:numRef>
          </c:val>
          <c:smooth val="0"/>
          <c:extLst>
            <c:ext xmlns:c16="http://schemas.microsoft.com/office/drawing/2014/chart" uri="{C3380CC4-5D6E-409C-BE32-E72D297353CC}">
              <c16:uniqueId val="{00000000-000E-4478-8FEA-54518AA58B53}"/>
            </c:ext>
          </c:extLst>
        </c:ser>
        <c:ser>
          <c:idx val="1"/>
          <c:order val="1"/>
          <c:tx>
            <c:strRef>
              <c:f>'LA STL Rams'!$E$55</c:f>
              <c:strCache>
                <c:ptCount val="1"/>
                <c:pt idx="0">
                  <c:v>weekly_attendance</c:v>
                </c:pt>
              </c:strCache>
            </c:strRef>
          </c:tx>
          <c:spPr>
            <a:ln w="28575" cap="rnd">
              <a:solidFill>
                <a:schemeClr val="accent2"/>
              </a:solidFill>
              <a:round/>
            </a:ln>
            <a:effectLst/>
          </c:spPr>
          <c:marker>
            <c:symbol val="none"/>
          </c:marker>
          <c:cat>
            <c:strLit>
              <c:ptCount val="8"/>
              <c:pt idx="0">
                <c:v>2</c:v>
              </c:pt>
              <c:pt idx="1">
                <c:v>4</c:v>
              </c:pt>
              <c:pt idx="2">
                <c:v>6</c:v>
              </c:pt>
              <c:pt idx="3">
                <c:v>7</c:v>
              </c:pt>
              <c:pt idx="4">
                <c:v>10</c:v>
              </c:pt>
              <c:pt idx="5">
                <c:v>13</c:v>
              </c:pt>
              <c:pt idx="6">
                <c:v>15</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'LA STL Rams'!$E$56:$E$72</c15:sqref>
                  </c15:fullRef>
                </c:ext>
              </c:extLst>
              <c:f>('LA STL Rams'!$E$57,'LA STL Rams'!$E$59,'LA STL Rams'!$E$61:$E$62,'LA STL Rams'!$E$65,'LA STL Rams'!$E$68,'LA STL Rams'!$E$70:$E$71)</c:f>
              <c:numCache>
                <c:formatCode>General</c:formatCode>
                <c:ptCount val="8"/>
                <c:pt idx="0">
                  <c:v>65990</c:v>
                </c:pt>
                <c:pt idx="1">
                  <c:v>65758</c:v>
                </c:pt>
                <c:pt idx="2">
                  <c:v>66075</c:v>
                </c:pt>
                <c:pt idx="3">
                  <c:v>66201</c:v>
                </c:pt>
                <c:pt idx="4">
                  <c:v>66085</c:v>
                </c:pt>
                <c:pt idx="5">
                  <c:v>66134</c:v>
                </c:pt>
                <c:pt idx="6">
                  <c:v>66152</c:v>
                </c:pt>
                <c:pt idx="7">
                  <c:v>66061</c:v>
                </c:pt>
              </c:numCache>
            </c:numRef>
          </c:val>
          <c:smooth val="0"/>
          <c:extLst>
            <c:ext xmlns:c16="http://schemas.microsoft.com/office/drawing/2014/chart" uri="{C3380CC4-5D6E-409C-BE32-E72D297353CC}">
              <c16:uniqueId val="{00000001-000E-4478-8FEA-54518AA58B53}"/>
            </c:ext>
          </c:extLst>
        </c:ser>
        <c:dLbls>
          <c:showLegendKey val="0"/>
          <c:showVal val="0"/>
          <c:showCatName val="0"/>
          <c:showSerName val="0"/>
          <c:showPercent val="0"/>
          <c:showBubbleSize val="0"/>
        </c:dLbls>
        <c:smooth val="0"/>
        <c:axId val="1129427104"/>
        <c:axId val="1129428064"/>
      </c:lineChart>
      <c:catAx>
        <c:axId val="1129427104"/>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9428064"/>
        <c:crosses val="autoZero"/>
        <c:auto val="1"/>
        <c:lblAlgn val="ctr"/>
        <c:lblOffset val="100"/>
        <c:noMultiLvlLbl val="0"/>
      </c:catAx>
      <c:valAx>
        <c:axId val="1129428064"/>
        <c:scaling>
          <c:orientation val="minMax"/>
          <c:min val="60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9427104"/>
        <c:crosses val="autoZero"/>
        <c:crossBetween val="between"/>
        <c:maj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2004 - 2005</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'LA STL Rams'!$D$73</c:f>
              <c:strCache>
                <c:ptCount val="1"/>
                <c:pt idx="0">
                  <c:v>week</c:v>
                </c:pt>
              </c:strCache>
            </c:strRef>
          </c:tx>
          <c:spPr>
            <a:ln w="28575" cap="rnd">
              <a:solidFill>
                <a:schemeClr val="accent1"/>
              </a:solidFill>
              <a:round/>
            </a:ln>
            <a:effectLst/>
          </c:spPr>
          <c:marker>
            <c:symbol val="none"/>
          </c:marker>
          <c:cat>
            <c:strLit>
              <c:ptCount val="8"/>
              <c:pt idx="0">
                <c:v>1</c:v>
              </c:pt>
              <c:pt idx="1">
                <c:v>3</c:v>
              </c:pt>
              <c:pt idx="2">
                <c:v>6</c:v>
              </c:pt>
              <c:pt idx="3">
                <c:v>9</c:v>
              </c:pt>
              <c:pt idx="4">
                <c:v>10</c:v>
              </c:pt>
              <c:pt idx="5">
                <c:v>13</c:v>
              </c:pt>
              <c:pt idx="6">
                <c:v>16</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'LA STL Rams'!$D$74:$D$90</c15:sqref>
                  </c15:fullRef>
                </c:ext>
              </c:extLst>
              <c:f>('LA STL Rams'!$D$74,'LA STL Rams'!$D$76,'LA STL Rams'!$D$79,'LA STL Rams'!$D$82:$D$83,'LA STL Rams'!$D$86,'LA STL Rams'!$D$89:$D$90)</c:f>
              <c:numCache>
                <c:formatCode>General</c:formatCode>
                <c:ptCount val="8"/>
                <c:pt idx="0">
                  <c:v>1</c:v>
                </c:pt>
                <c:pt idx="1">
                  <c:v>3</c:v>
                </c:pt>
                <c:pt idx="2">
                  <c:v>6</c:v>
                </c:pt>
                <c:pt idx="3">
                  <c:v>9</c:v>
                </c:pt>
                <c:pt idx="4">
                  <c:v>10</c:v>
                </c:pt>
                <c:pt idx="5">
                  <c:v>13</c:v>
                </c:pt>
                <c:pt idx="6">
                  <c:v>16</c:v>
                </c:pt>
                <c:pt idx="7">
                  <c:v>17</c:v>
                </c:pt>
              </c:numCache>
            </c:numRef>
          </c:val>
          <c:smooth val="0"/>
          <c:extLst>
            <c:ext xmlns:c16="http://schemas.microsoft.com/office/drawing/2014/chart" uri="{C3380CC4-5D6E-409C-BE32-E72D297353CC}">
              <c16:uniqueId val="{00000000-B613-421A-A7B5-B162C56B066B}"/>
            </c:ext>
          </c:extLst>
        </c:ser>
        <c:ser>
          <c:idx val="1"/>
          <c:order val="1"/>
          <c:tx>
            <c:strRef>
              <c:f>'LA STL Rams'!$E$73</c:f>
              <c:strCache>
                <c:ptCount val="1"/>
                <c:pt idx="0">
                  <c:v>weekly_attendance</c:v>
                </c:pt>
              </c:strCache>
            </c:strRef>
          </c:tx>
          <c:spPr>
            <a:ln w="28575" cap="rnd">
              <a:solidFill>
                <a:schemeClr val="accent2"/>
              </a:solidFill>
              <a:round/>
            </a:ln>
            <a:effectLst/>
          </c:spPr>
          <c:marker>
            <c:symbol val="none"/>
          </c:marker>
          <c:cat>
            <c:strLit>
              <c:ptCount val="8"/>
              <c:pt idx="0">
                <c:v>1</c:v>
              </c:pt>
              <c:pt idx="1">
                <c:v>3</c:v>
              </c:pt>
              <c:pt idx="2">
                <c:v>6</c:v>
              </c:pt>
              <c:pt idx="3">
                <c:v>9</c:v>
              </c:pt>
              <c:pt idx="4">
                <c:v>10</c:v>
              </c:pt>
              <c:pt idx="5">
                <c:v>13</c:v>
              </c:pt>
              <c:pt idx="6">
                <c:v>16</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'LA STL Rams'!$E$74:$E$90</c15:sqref>
                  </c15:fullRef>
                </c:ext>
              </c:extLst>
              <c:f>('LA STL Rams'!$E$74,'LA STL Rams'!$E$76,'LA STL Rams'!$E$79,'LA STL Rams'!$E$82:$E$83,'LA STL Rams'!$E$86,'LA STL Rams'!$E$89:$E$90)</c:f>
              <c:numCache>
                <c:formatCode>General</c:formatCode>
                <c:ptCount val="8"/>
                <c:pt idx="0">
                  <c:v>65538</c:v>
                </c:pt>
                <c:pt idx="1">
                  <c:v>65856</c:v>
                </c:pt>
                <c:pt idx="2">
                  <c:v>66040</c:v>
                </c:pt>
                <c:pt idx="3">
                  <c:v>66107</c:v>
                </c:pt>
                <c:pt idx="4">
                  <c:v>66044</c:v>
                </c:pt>
                <c:pt idx="5">
                  <c:v>65793</c:v>
                </c:pt>
                <c:pt idx="6">
                  <c:v>66129</c:v>
                </c:pt>
                <c:pt idx="7">
                  <c:v>65877</c:v>
                </c:pt>
              </c:numCache>
            </c:numRef>
          </c:val>
          <c:smooth val="0"/>
          <c:extLst>
            <c:ext xmlns:c16="http://schemas.microsoft.com/office/drawing/2014/chart" uri="{C3380CC4-5D6E-409C-BE32-E72D297353CC}">
              <c16:uniqueId val="{00000001-B613-421A-A7B5-B162C56B066B}"/>
            </c:ext>
          </c:extLst>
        </c:ser>
        <c:dLbls>
          <c:showLegendKey val="0"/>
          <c:showVal val="0"/>
          <c:showCatName val="0"/>
          <c:showSerName val="0"/>
          <c:showPercent val="0"/>
          <c:showBubbleSize val="0"/>
        </c:dLbls>
        <c:smooth val="0"/>
        <c:axId val="1093132528"/>
        <c:axId val="1093132048"/>
      </c:lineChart>
      <c:catAx>
        <c:axId val="109313252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3132048"/>
        <c:crosses val="autoZero"/>
        <c:auto val="1"/>
        <c:lblAlgn val="ctr"/>
        <c:lblOffset val="100"/>
        <c:noMultiLvlLbl val="0"/>
      </c:catAx>
      <c:valAx>
        <c:axId val="1093132048"/>
        <c:scaling>
          <c:orientation val="minMax"/>
          <c:min val="60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3132528"/>
        <c:crosses val="autoZero"/>
        <c:crossBetween val="between"/>
        <c:maj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2005 - 2006</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'LA STL Rams'!$D$91</c:f>
              <c:strCache>
                <c:ptCount val="1"/>
                <c:pt idx="0">
                  <c:v>week</c:v>
                </c:pt>
              </c:strCache>
            </c:strRef>
          </c:tx>
          <c:spPr>
            <a:ln w="28575" cap="rnd">
              <a:solidFill>
                <a:schemeClr val="accent1"/>
              </a:solidFill>
              <a:round/>
            </a:ln>
            <a:effectLst/>
          </c:spPr>
          <c:marker>
            <c:symbol val="none"/>
          </c:marker>
          <c:cat>
            <c:strLit>
              <c:ptCount val="8"/>
              <c:pt idx="0">
                <c:v>3</c:v>
              </c:pt>
              <c:pt idx="1">
                <c:v>5</c:v>
              </c:pt>
              <c:pt idx="2">
                <c:v>7</c:v>
              </c:pt>
              <c:pt idx="3">
                <c:v>8</c:v>
              </c:pt>
              <c:pt idx="4">
                <c:v>11</c:v>
              </c:pt>
              <c:pt idx="5">
                <c:v>13</c:v>
              </c:pt>
              <c:pt idx="6">
                <c:v>15</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'LA STL Rams'!$D$92:$D$108</c15:sqref>
                  </c15:fullRef>
                </c:ext>
              </c:extLst>
              <c:f>('LA STL Rams'!$D$94,'LA STL Rams'!$D$96,'LA STL Rams'!$D$98:$D$99,'LA STL Rams'!$D$102,'LA STL Rams'!$D$104,'LA STL Rams'!$D$106:$D$107)</c:f>
              <c:numCache>
                <c:formatCode>General</c:formatCode>
                <c:ptCount val="8"/>
                <c:pt idx="0">
                  <c:v>3</c:v>
                </c:pt>
                <c:pt idx="1">
                  <c:v>5</c:v>
                </c:pt>
                <c:pt idx="2">
                  <c:v>7</c:v>
                </c:pt>
                <c:pt idx="3">
                  <c:v>8</c:v>
                </c:pt>
                <c:pt idx="4">
                  <c:v>11</c:v>
                </c:pt>
                <c:pt idx="5">
                  <c:v>13</c:v>
                </c:pt>
                <c:pt idx="6">
                  <c:v>15</c:v>
                </c:pt>
                <c:pt idx="7">
                  <c:v>16</c:v>
                </c:pt>
              </c:numCache>
            </c:numRef>
          </c:val>
          <c:smooth val="0"/>
          <c:extLst>
            <c:ext xmlns:c16="http://schemas.microsoft.com/office/drawing/2014/chart" uri="{C3380CC4-5D6E-409C-BE32-E72D297353CC}">
              <c16:uniqueId val="{00000000-C24D-4753-9906-375DE6BF7F28}"/>
            </c:ext>
          </c:extLst>
        </c:ser>
        <c:ser>
          <c:idx val="1"/>
          <c:order val="1"/>
          <c:tx>
            <c:strRef>
              <c:f>'LA STL Rams'!$E$91</c:f>
              <c:strCache>
                <c:ptCount val="1"/>
                <c:pt idx="0">
                  <c:v>weekly_attendance</c:v>
                </c:pt>
              </c:strCache>
            </c:strRef>
          </c:tx>
          <c:spPr>
            <a:ln w="28575" cap="rnd">
              <a:solidFill>
                <a:schemeClr val="accent2"/>
              </a:solidFill>
              <a:round/>
            </a:ln>
            <a:effectLst/>
          </c:spPr>
          <c:marker>
            <c:symbol val="none"/>
          </c:marker>
          <c:cat>
            <c:strLit>
              <c:ptCount val="8"/>
              <c:pt idx="0">
                <c:v>3</c:v>
              </c:pt>
              <c:pt idx="1">
                <c:v>5</c:v>
              </c:pt>
              <c:pt idx="2">
                <c:v>7</c:v>
              </c:pt>
              <c:pt idx="3">
                <c:v>8</c:v>
              </c:pt>
              <c:pt idx="4">
                <c:v>11</c:v>
              </c:pt>
              <c:pt idx="5">
                <c:v>13</c:v>
              </c:pt>
              <c:pt idx="6">
                <c:v>15</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'LA STL Rams'!$E$92:$E$108</c15:sqref>
                  </c15:fullRef>
                </c:ext>
              </c:extLst>
              <c:f>('LA STL Rams'!$E$94,'LA STL Rams'!$E$96,'LA STL Rams'!$E$98:$E$99,'LA STL Rams'!$E$102,'LA STL Rams'!$E$104,'LA STL Rams'!$E$106:$E$107)</c:f>
              <c:numCache>
                <c:formatCode>General</c:formatCode>
                <c:ptCount val="8"/>
                <c:pt idx="0">
                  <c:v>65835</c:v>
                </c:pt>
                <c:pt idx="1">
                  <c:v>65707</c:v>
                </c:pt>
                <c:pt idx="2">
                  <c:v>64586</c:v>
                </c:pt>
                <c:pt idx="3">
                  <c:v>65251</c:v>
                </c:pt>
                <c:pt idx="4">
                  <c:v>65750</c:v>
                </c:pt>
                <c:pt idx="5">
                  <c:v>65701</c:v>
                </c:pt>
                <c:pt idx="6">
                  <c:v>65382</c:v>
                </c:pt>
                <c:pt idx="7">
                  <c:v>65473</c:v>
                </c:pt>
              </c:numCache>
            </c:numRef>
          </c:val>
          <c:smooth val="0"/>
          <c:extLst>
            <c:ext xmlns:c16="http://schemas.microsoft.com/office/drawing/2014/chart" uri="{C3380CC4-5D6E-409C-BE32-E72D297353CC}">
              <c16:uniqueId val="{00000001-C24D-4753-9906-375DE6BF7F28}"/>
            </c:ext>
          </c:extLst>
        </c:ser>
        <c:dLbls>
          <c:showLegendKey val="0"/>
          <c:showVal val="0"/>
          <c:showCatName val="0"/>
          <c:showSerName val="0"/>
          <c:showPercent val="0"/>
          <c:showBubbleSize val="0"/>
        </c:dLbls>
        <c:smooth val="0"/>
        <c:axId val="1093130608"/>
        <c:axId val="650883712"/>
      </c:lineChart>
      <c:catAx>
        <c:axId val="109313060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0883712"/>
        <c:crosses val="autoZero"/>
        <c:auto val="1"/>
        <c:lblAlgn val="ctr"/>
        <c:lblOffset val="100"/>
        <c:noMultiLvlLbl val="0"/>
      </c:catAx>
      <c:valAx>
        <c:axId val="650883712"/>
        <c:scaling>
          <c:orientation val="minMax"/>
          <c:min val="60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3130608"/>
        <c:crosses val="autoZero"/>
        <c:crossBetween val="between"/>
        <c:maj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2006 - 2007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'LA STL Rams'!$D$109</c:f>
              <c:strCache>
                <c:ptCount val="1"/>
                <c:pt idx="0">
                  <c:v>week</c:v>
                </c:pt>
              </c:strCache>
            </c:strRef>
          </c:tx>
          <c:spPr>
            <a:ln w="28575" cap="rnd">
              <a:solidFill>
                <a:schemeClr val="accent1"/>
              </a:solidFill>
              <a:round/>
            </a:ln>
            <a:effectLst/>
          </c:spPr>
          <c:marker>
            <c:symbol val="none"/>
          </c:marker>
          <c:cat>
            <c:strLit>
              <c:ptCount val="8"/>
              <c:pt idx="0">
                <c:v>1</c:v>
              </c:pt>
              <c:pt idx="1">
                <c:v>4</c:v>
              </c:pt>
              <c:pt idx="2">
                <c:v>6</c:v>
              </c:pt>
              <c:pt idx="3">
                <c:v>9</c:v>
              </c:pt>
              <c:pt idx="4">
                <c:v>12</c:v>
              </c:pt>
              <c:pt idx="5">
                <c:v>13</c:v>
              </c:pt>
              <c:pt idx="6">
                <c:v>14</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'LA STL Rams'!$D$110:$D$126</c15:sqref>
                  </c15:fullRef>
                </c:ext>
              </c:extLst>
              <c:f>('LA STL Rams'!$D$110,'LA STL Rams'!$D$113,'LA STL Rams'!$D$115,'LA STL Rams'!$D$118,'LA STL Rams'!$D$121:$D$123,'LA STL Rams'!$D$125)</c:f>
              <c:numCache>
                <c:formatCode>General</c:formatCode>
                <c:ptCount val="8"/>
                <c:pt idx="0">
                  <c:v>1</c:v>
                </c:pt>
                <c:pt idx="1">
                  <c:v>4</c:v>
                </c:pt>
                <c:pt idx="2">
                  <c:v>6</c:v>
                </c:pt>
                <c:pt idx="3">
                  <c:v>9</c:v>
                </c:pt>
                <c:pt idx="4">
                  <c:v>12</c:v>
                </c:pt>
                <c:pt idx="5">
                  <c:v>13</c:v>
                </c:pt>
                <c:pt idx="6">
                  <c:v>14</c:v>
                </c:pt>
                <c:pt idx="7">
                  <c:v>16</c:v>
                </c:pt>
              </c:numCache>
            </c:numRef>
          </c:val>
          <c:smooth val="0"/>
          <c:extLst>
            <c:ext xmlns:c16="http://schemas.microsoft.com/office/drawing/2014/chart" uri="{C3380CC4-5D6E-409C-BE32-E72D297353CC}">
              <c16:uniqueId val="{00000000-585C-44D4-9F0E-1949107E3EC8}"/>
            </c:ext>
          </c:extLst>
        </c:ser>
        <c:ser>
          <c:idx val="1"/>
          <c:order val="1"/>
          <c:tx>
            <c:strRef>
              <c:f>'LA STL Rams'!$E$109</c:f>
              <c:strCache>
                <c:ptCount val="1"/>
                <c:pt idx="0">
                  <c:v>weekly_attendance</c:v>
                </c:pt>
              </c:strCache>
            </c:strRef>
          </c:tx>
          <c:spPr>
            <a:ln w="28575" cap="rnd">
              <a:solidFill>
                <a:schemeClr val="accent2"/>
              </a:solidFill>
              <a:round/>
            </a:ln>
            <a:effectLst/>
          </c:spPr>
          <c:marker>
            <c:symbol val="none"/>
          </c:marker>
          <c:cat>
            <c:strLit>
              <c:ptCount val="8"/>
              <c:pt idx="0">
                <c:v>1</c:v>
              </c:pt>
              <c:pt idx="1">
                <c:v>4</c:v>
              </c:pt>
              <c:pt idx="2">
                <c:v>6</c:v>
              </c:pt>
              <c:pt idx="3">
                <c:v>9</c:v>
              </c:pt>
              <c:pt idx="4">
                <c:v>12</c:v>
              </c:pt>
              <c:pt idx="5">
                <c:v>13</c:v>
              </c:pt>
              <c:pt idx="6">
                <c:v>14</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'LA STL Rams'!$E$110:$E$126</c15:sqref>
                  </c15:fullRef>
                </c:ext>
              </c:extLst>
              <c:f>('LA STL Rams'!$E$110,'LA STL Rams'!$E$113,'LA STL Rams'!$E$115,'LA STL Rams'!$E$118,'LA STL Rams'!$E$121:$E$123,'LA STL Rams'!$E$125)</c:f>
              <c:numCache>
                <c:formatCode>General</c:formatCode>
                <c:ptCount val="8"/>
                <c:pt idx="0">
                  <c:v>65577</c:v>
                </c:pt>
                <c:pt idx="1">
                  <c:v>65563</c:v>
                </c:pt>
                <c:pt idx="2">
                  <c:v>65592</c:v>
                </c:pt>
                <c:pt idx="3">
                  <c:v>66191</c:v>
                </c:pt>
                <c:pt idx="4">
                  <c:v>65517</c:v>
                </c:pt>
                <c:pt idx="5">
                  <c:v>65612</c:v>
                </c:pt>
                <c:pt idx="6">
                  <c:v>66234</c:v>
                </c:pt>
                <c:pt idx="7">
                  <c:v>62324</c:v>
                </c:pt>
              </c:numCache>
            </c:numRef>
          </c:val>
          <c:smooth val="0"/>
          <c:extLst>
            <c:ext xmlns:c16="http://schemas.microsoft.com/office/drawing/2014/chart" uri="{C3380CC4-5D6E-409C-BE32-E72D297353CC}">
              <c16:uniqueId val="{00000001-585C-44D4-9F0E-1949107E3EC8}"/>
            </c:ext>
          </c:extLst>
        </c:ser>
        <c:dLbls>
          <c:showLegendKey val="0"/>
          <c:showVal val="0"/>
          <c:showCatName val="0"/>
          <c:showSerName val="0"/>
          <c:showPercent val="0"/>
          <c:showBubbleSize val="0"/>
        </c:dLbls>
        <c:smooth val="0"/>
        <c:axId val="875537616"/>
        <c:axId val="865070320"/>
      </c:lineChart>
      <c:catAx>
        <c:axId val="87553761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070320"/>
        <c:crosses val="autoZero"/>
        <c:auto val="1"/>
        <c:lblAlgn val="ctr"/>
        <c:lblOffset val="100"/>
        <c:noMultiLvlLbl val="0"/>
      </c:catAx>
      <c:valAx>
        <c:axId val="865070320"/>
        <c:scaling>
          <c:orientation val="minMax"/>
          <c:min val="60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5537616"/>
        <c:crosses val="autoZero"/>
        <c:crossBetween val="between"/>
        <c:maj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2007 - 2008</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'LA STL Rams'!$D$127</c:f>
              <c:strCache>
                <c:ptCount val="1"/>
                <c:pt idx="0">
                  <c:v>week</c:v>
                </c:pt>
              </c:strCache>
            </c:strRef>
          </c:tx>
          <c:spPr>
            <a:ln w="28575" cap="rnd">
              <a:solidFill>
                <a:schemeClr val="accent1"/>
              </a:solidFill>
              <a:round/>
            </a:ln>
            <a:effectLst/>
          </c:spPr>
          <c:marker>
            <c:symbol val="none"/>
          </c:marker>
          <c:cat>
            <c:strLit>
              <c:ptCount val="8"/>
              <c:pt idx="0">
                <c:v>1</c:v>
              </c:pt>
              <c:pt idx="1">
                <c:v>2</c:v>
              </c:pt>
              <c:pt idx="2">
                <c:v>5</c:v>
              </c:pt>
              <c:pt idx="3">
                <c:v>8</c:v>
              </c:pt>
              <c:pt idx="4">
                <c:v>12</c:v>
              </c:pt>
              <c:pt idx="5">
                <c:v>13</c:v>
              </c:pt>
              <c:pt idx="6">
                <c:v>15</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'LA STL Rams'!$D$128:$D$144</c15:sqref>
                  </c15:fullRef>
                </c:ext>
              </c:extLst>
              <c:f>('LA STL Rams'!$D$128:$D$129,'LA STL Rams'!$D$132,'LA STL Rams'!$D$135,'LA STL Rams'!$D$139:$D$140,'LA STL Rams'!$D$142:$D$143)</c:f>
              <c:numCache>
                <c:formatCode>General</c:formatCode>
                <c:ptCount val="8"/>
                <c:pt idx="0">
                  <c:v>1</c:v>
                </c:pt>
                <c:pt idx="1">
                  <c:v>2</c:v>
                </c:pt>
                <c:pt idx="2">
                  <c:v>5</c:v>
                </c:pt>
                <c:pt idx="3">
                  <c:v>8</c:v>
                </c:pt>
                <c:pt idx="4">
                  <c:v>12</c:v>
                </c:pt>
                <c:pt idx="5">
                  <c:v>13</c:v>
                </c:pt>
                <c:pt idx="6">
                  <c:v>15</c:v>
                </c:pt>
                <c:pt idx="7">
                  <c:v>16</c:v>
                </c:pt>
              </c:numCache>
            </c:numRef>
          </c:val>
          <c:smooth val="0"/>
          <c:extLst>
            <c:ext xmlns:c16="http://schemas.microsoft.com/office/drawing/2014/chart" uri="{C3380CC4-5D6E-409C-BE32-E72D297353CC}">
              <c16:uniqueId val="{00000000-DDFF-4B9F-9643-548DA45045F6}"/>
            </c:ext>
          </c:extLst>
        </c:ser>
        <c:ser>
          <c:idx val="1"/>
          <c:order val="1"/>
          <c:tx>
            <c:strRef>
              <c:f>'LA STL Rams'!$E$127</c:f>
              <c:strCache>
                <c:ptCount val="1"/>
                <c:pt idx="0">
                  <c:v>weekly_attendance</c:v>
                </c:pt>
              </c:strCache>
            </c:strRef>
          </c:tx>
          <c:spPr>
            <a:ln w="28575" cap="rnd">
              <a:solidFill>
                <a:schemeClr val="accent2"/>
              </a:solidFill>
              <a:round/>
            </a:ln>
            <a:effectLst/>
          </c:spPr>
          <c:marker>
            <c:symbol val="none"/>
          </c:marker>
          <c:cat>
            <c:strLit>
              <c:ptCount val="8"/>
              <c:pt idx="0">
                <c:v>1</c:v>
              </c:pt>
              <c:pt idx="1">
                <c:v>2</c:v>
              </c:pt>
              <c:pt idx="2">
                <c:v>5</c:v>
              </c:pt>
              <c:pt idx="3">
                <c:v>8</c:v>
              </c:pt>
              <c:pt idx="4">
                <c:v>12</c:v>
              </c:pt>
              <c:pt idx="5">
                <c:v>13</c:v>
              </c:pt>
              <c:pt idx="6">
                <c:v>15</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'LA STL Rams'!$E$128:$E$144</c15:sqref>
                  </c15:fullRef>
                </c:ext>
              </c:extLst>
              <c:f>('LA STL Rams'!$E$128:$E$129,'LA STL Rams'!$E$132,'LA STL Rams'!$E$135,'LA STL Rams'!$E$139:$E$140,'LA STL Rams'!$E$142:$E$143)</c:f>
              <c:numCache>
                <c:formatCode>General</c:formatCode>
                <c:ptCount val="8"/>
                <c:pt idx="0">
                  <c:v>65307</c:v>
                </c:pt>
                <c:pt idx="1">
                  <c:v>65295</c:v>
                </c:pt>
                <c:pt idx="2">
                  <c:v>61788</c:v>
                </c:pt>
                <c:pt idx="3">
                  <c:v>62777</c:v>
                </c:pt>
                <c:pt idx="4">
                  <c:v>65423</c:v>
                </c:pt>
                <c:pt idx="5">
                  <c:v>62051</c:v>
                </c:pt>
                <c:pt idx="6">
                  <c:v>66008</c:v>
                </c:pt>
                <c:pt idx="7">
                  <c:v>65705</c:v>
                </c:pt>
              </c:numCache>
            </c:numRef>
          </c:val>
          <c:smooth val="0"/>
          <c:extLst>
            <c:ext xmlns:c16="http://schemas.microsoft.com/office/drawing/2014/chart" uri="{C3380CC4-5D6E-409C-BE32-E72D297353CC}">
              <c16:uniqueId val="{00000001-DDFF-4B9F-9643-548DA45045F6}"/>
            </c:ext>
          </c:extLst>
        </c:ser>
        <c:dLbls>
          <c:showLegendKey val="0"/>
          <c:showVal val="0"/>
          <c:showCatName val="0"/>
          <c:showSerName val="0"/>
          <c:showPercent val="0"/>
          <c:showBubbleSize val="0"/>
        </c:dLbls>
        <c:smooth val="0"/>
        <c:axId val="865072720"/>
        <c:axId val="865073200"/>
      </c:lineChart>
      <c:catAx>
        <c:axId val="86507272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073200"/>
        <c:crosses val="autoZero"/>
        <c:auto val="1"/>
        <c:lblAlgn val="ctr"/>
        <c:lblOffset val="100"/>
        <c:noMultiLvlLbl val="0"/>
      </c:catAx>
      <c:valAx>
        <c:axId val="865073200"/>
        <c:scaling>
          <c:orientation val="minMax"/>
          <c:max val="67000"/>
          <c:min val="60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072720"/>
        <c:crosses val="autoZero"/>
        <c:crossBetween val="between"/>
        <c:maj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2008 - 2009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'LA STL Rams'!$D$145</c:f>
              <c:strCache>
                <c:ptCount val="1"/>
                <c:pt idx="0">
                  <c:v>week</c:v>
                </c:pt>
              </c:strCache>
            </c:strRef>
          </c:tx>
          <c:spPr>
            <a:ln w="28575" cap="rnd">
              <a:solidFill>
                <a:schemeClr val="accent1"/>
              </a:solidFill>
              <a:round/>
            </a:ln>
            <a:effectLst/>
          </c:spPr>
          <c:marker>
            <c:symbol val="none"/>
          </c:marker>
          <c:cat>
            <c:strLit>
              <c:ptCount val="8"/>
              <c:pt idx="0">
                <c:v>2</c:v>
              </c:pt>
              <c:pt idx="1">
                <c:v>4</c:v>
              </c:pt>
              <c:pt idx="2">
                <c:v>7</c:v>
              </c:pt>
              <c:pt idx="3">
                <c:v>9</c:v>
              </c:pt>
              <c:pt idx="4">
                <c:v>12</c:v>
              </c:pt>
              <c:pt idx="5">
                <c:v>13</c:v>
              </c:pt>
              <c:pt idx="6">
                <c:v>15</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'LA STL Rams'!$D$146:$D$162</c15:sqref>
                  </c15:fullRef>
                </c:ext>
              </c:extLst>
              <c:f>('LA STL Rams'!$D$147,'LA STL Rams'!$D$149,'LA STL Rams'!$D$152,'LA STL Rams'!$D$154,'LA STL Rams'!$D$157:$D$158,'LA STL Rams'!$D$160:$D$161)</c:f>
              <c:numCache>
                <c:formatCode>General</c:formatCode>
                <c:ptCount val="8"/>
                <c:pt idx="0">
                  <c:v>2</c:v>
                </c:pt>
                <c:pt idx="1">
                  <c:v>4</c:v>
                </c:pt>
                <c:pt idx="2">
                  <c:v>7</c:v>
                </c:pt>
                <c:pt idx="3">
                  <c:v>9</c:v>
                </c:pt>
                <c:pt idx="4">
                  <c:v>12</c:v>
                </c:pt>
                <c:pt idx="5">
                  <c:v>13</c:v>
                </c:pt>
                <c:pt idx="6">
                  <c:v>15</c:v>
                </c:pt>
                <c:pt idx="7">
                  <c:v>16</c:v>
                </c:pt>
              </c:numCache>
            </c:numRef>
          </c:val>
          <c:smooth val="0"/>
          <c:extLst>
            <c:ext xmlns:c16="http://schemas.microsoft.com/office/drawing/2014/chart" uri="{C3380CC4-5D6E-409C-BE32-E72D297353CC}">
              <c16:uniqueId val="{00000000-1080-43A2-AA04-E85E45175A0C}"/>
            </c:ext>
          </c:extLst>
        </c:ser>
        <c:ser>
          <c:idx val="1"/>
          <c:order val="1"/>
          <c:tx>
            <c:strRef>
              <c:f>'LA STL Rams'!$E$145</c:f>
              <c:strCache>
                <c:ptCount val="1"/>
                <c:pt idx="0">
                  <c:v>weekly_attendance</c:v>
                </c:pt>
              </c:strCache>
            </c:strRef>
          </c:tx>
          <c:spPr>
            <a:ln w="28575" cap="rnd">
              <a:solidFill>
                <a:schemeClr val="accent2"/>
              </a:solidFill>
              <a:round/>
            </a:ln>
            <a:effectLst/>
          </c:spPr>
          <c:marker>
            <c:symbol val="none"/>
          </c:marker>
          <c:cat>
            <c:strLit>
              <c:ptCount val="8"/>
              <c:pt idx="0">
                <c:v>2</c:v>
              </c:pt>
              <c:pt idx="1">
                <c:v>4</c:v>
              </c:pt>
              <c:pt idx="2">
                <c:v>7</c:v>
              </c:pt>
              <c:pt idx="3">
                <c:v>9</c:v>
              </c:pt>
              <c:pt idx="4">
                <c:v>12</c:v>
              </c:pt>
              <c:pt idx="5">
                <c:v>13</c:v>
              </c:pt>
              <c:pt idx="6">
                <c:v>15</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'LA STL Rams'!$E$146:$E$162</c15:sqref>
                  </c15:fullRef>
                </c:ext>
              </c:extLst>
              <c:f>('LA STL Rams'!$E$147,'LA STL Rams'!$E$149,'LA STL Rams'!$E$152,'LA STL Rams'!$E$154,'LA STL Rams'!$E$157:$E$158,'LA STL Rams'!$E$160:$E$161)</c:f>
              <c:numCache>
                <c:formatCode>General</c:formatCode>
                <c:ptCount val="8"/>
                <c:pt idx="0">
                  <c:v>61377</c:v>
                </c:pt>
                <c:pt idx="1">
                  <c:v>61017</c:v>
                </c:pt>
                <c:pt idx="2">
                  <c:v>62035</c:v>
                </c:pt>
                <c:pt idx="3">
                  <c:v>61303</c:v>
                </c:pt>
                <c:pt idx="4">
                  <c:v>61994</c:v>
                </c:pt>
                <c:pt idx="5">
                  <c:v>61046</c:v>
                </c:pt>
                <c:pt idx="6">
                  <c:v>56123</c:v>
                </c:pt>
                <c:pt idx="7">
                  <c:v>54948</c:v>
                </c:pt>
              </c:numCache>
            </c:numRef>
          </c:val>
          <c:smooth val="0"/>
          <c:extLst>
            <c:ext xmlns:c16="http://schemas.microsoft.com/office/drawing/2014/chart" uri="{C3380CC4-5D6E-409C-BE32-E72D297353CC}">
              <c16:uniqueId val="{00000001-1080-43A2-AA04-E85E45175A0C}"/>
            </c:ext>
          </c:extLst>
        </c:ser>
        <c:dLbls>
          <c:showLegendKey val="0"/>
          <c:showVal val="0"/>
          <c:showCatName val="0"/>
          <c:showSerName val="0"/>
          <c:showPercent val="0"/>
          <c:showBubbleSize val="0"/>
        </c:dLbls>
        <c:smooth val="0"/>
        <c:axId val="1074857136"/>
        <c:axId val="1074859536"/>
      </c:lineChart>
      <c:catAx>
        <c:axId val="10748571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4859536"/>
        <c:crosses val="autoZero"/>
        <c:auto val="1"/>
        <c:lblAlgn val="ctr"/>
        <c:lblOffset val="100"/>
        <c:noMultiLvlLbl val="0"/>
      </c:catAx>
      <c:valAx>
        <c:axId val="1074859536"/>
        <c:scaling>
          <c:orientation val="minMax"/>
          <c:max val="67000"/>
          <c:min val="54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4857136"/>
        <c:crosses val="autoZero"/>
        <c:crossBetween val="between"/>
        <c:maj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2009 - 2010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'LA STL Rams'!$D$163</c:f>
              <c:strCache>
                <c:ptCount val="1"/>
                <c:pt idx="0">
                  <c:v>week</c:v>
                </c:pt>
              </c:strCache>
            </c:strRef>
          </c:tx>
          <c:spPr>
            <a:ln w="28575" cap="rnd">
              <a:solidFill>
                <a:schemeClr val="accent1"/>
              </a:solidFill>
              <a:round/>
            </a:ln>
            <a:effectLst/>
          </c:spPr>
          <c:marker>
            <c:symbol val="none"/>
          </c:marker>
          <c:cat>
            <c:strLit>
              <c:ptCount val="8"/>
              <c:pt idx="0">
                <c:v>3</c:v>
              </c:pt>
              <c:pt idx="1">
                <c:v>5</c:v>
              </c:pt>
              <c:pt idx="2">
                <c:v>7</c:v>
              </c:pt>
              <c:pt idx="3">
                <c:v>10</c:v>
              </c:pt>
              <c:pt idx="4">
                <c:v>11</c:v>
              </c:pt>
              <c:pt idx="5">
                <c:v>12</c:v>
              </c:pt>
              <c:pt idx="6">
                <c:v>15</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'LA STL Rams'!$D$164:$D$180</c15:sqref>
                  </c15:fullRef>
                </c:ext>
              </c:extLst>
              <c:f>('LA STL Rams'!$D$166,'LA STL Rams'!$D$168,'LA STL Rams'!$D$170,'LA STL Rams'!$D$173:$D$175,'LA STL Rams'!$D$178,'LA STL Rams'!$D$180)</c:f>
              <c:numCache>
                <c:formatCode>General</c:formatCode>
                <c:ptCount val="8"/>
                <c:pt idx="0">
                  <c:v>3</c:v>
                </c:pt>
                <c:pt idx="1">
                  <c:v>5</c:v>
                </c:pt>
                <c:pt idx="2">
                  <c:v>7</c:v>
                </c:pt>
                <c:pt idx="3">
                  <c:v>10</c:v>
                </c:pt>
                <c:pt idx="4">
                  <c:v>11</c:v>
                </c:pt>
                <c:pt idx="5">
                  <c:v>12</c:v>
                </c:pt>
                <c:pt idx="6">
                  <c:v>15</c:v>
                </c:pt>
                <c:pt idx="7">
                  <c:v>17</c:v>
                </c:pt>
              </c:numCache>
            </c:numRef>
          </c:val>
          <c:smooth val="0"/>
          <c:extLst>
            <c:ext xmlns:c16="http://schemas.microsoft.com/office/drawing/2014/chart" uri="{C3380CC4-5D6E-409C-BE32-E72D297353CC}">
              <c16:uniqueId val="{00000000-145F-4803-B3C2-3899F6FD0091}"/>
            </c:ext>
          </c:extLst>
        </c:ser>
        <c:ser>
          <c:idx val="1"/>
          <c:order val="1"/>
          <c:tx>
            <c:strRef>
              <c:f>'LA STL Rams'!$E$163</c:f>
              <c:strCache>
                <c:ptCount val="1"/>
                <c:pt idx="0">
                  <c:v>weekly_attendance</c:v>
                </c:pt>
              </c:strCache>
            </c:strRef>
          </c:tx>
          <c:spPr>
            <a:ln w="28575" cap="rnd">
              <a:solidFill>
                <a:schemeClr val="accent2"/>
              </a:solidFill>
              <a:round/>
            </a:ln>
            <a:effectLst/>
          </c:spPr>
          <c:marker>
            <c:symbol val="none"/>
          </c:marker>
          <c:cat>
            <c:strLit>
              <c:ptCount val="8"/>
              <c:pt idx="0">
                <c:v>3</c:v>
              </c:pt>
              <c:pt idx="1">
                <c:v>5</c:v>
              </c:pt>
              <c:pt idx="2">
                <c:v>7</c:v>
              </c:pt>
              <c:pt idx="3">
                <c:v>10</c:v>
              </c:pt>
              <c:pt idx="4">
                <c:v>11</c:v>
              </c:pt>
              <c:pt idx="5">
                <c:v>12</c:v>
              </c:pt>
              <c:pt idx="6">
                <c:v>15</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'LA STL Rams'!$E$164:$E$180</c15:sqref>
                  </c15:fullRef>
                </c:ext>
              </c:extLst>
              <c:f>('LA STL Rams'!$E$166,'LA STL Rams'!$E$168,'LA STL Rams'!$E$170,'LA STL Rams'!$E$173:$E$175,'LA STL Rams'!$E$178,'LA STL Rams'!$E$180)</c:f>
              <c:numCache>
                <c:formatCode>General</c:formatCode>
                <c:ptCount val="8"/>
                <c:pt idx="0">
                  <c:v>60234</c:v>
                </c:pt>
                <c:pt idx="1">
                  <c:v>60166</c:v>
                </c:pt>
                <c:pt idx="2">
                  <c:v>60108</c:v>
                </c:pt>
                <c:pt idx="3">
                  <c:v>59858</c:v>
                </c:pt>
                <c:pt idx="4">
                  <c:v>59839</c:v>
                </c:pt>
                <c:pt idx="5">
                  <c:v>47475</c:v>
                </c:pt>
                <c:pt idx="6">
                  <c:v>46256</c:v>
                </c:pt>
                <c:pt idx="7">
                  <c:v>47965</c:v>
                </c:pt>
              </c:numCache>
            </c:numRef>
          </c:val>
          <c:smooth val="0"/>
          <c:extLst>
            <c:ext xmlns:c16="http://schemas.microsoft.com/office/drawing/2014/chart" uri="{C3380CC4-5D6E-409C-BE32-E72D297353CC}">
              <c16:uniqueId val="{00000001-145F-4803-B3C2-3899F6FD0091}"/>
            </c:ext>
          </c:extLst>
        </c:ser>
        <c:dLbls>
          <c:showLegendKey val="0"/>
          <c:showVal val="0"/>
          <c:showCatName val="0"/>
          <c:showSerName val="0"/>
          <c:showPercent val="0"/>
          <c:showBubbleSize val="0"/>
        </c:dLbls>
        <c:smooth val="0"/>
        <c:axId val="1093133488"/>
        <c:axId val="865071760"/>
      </c:lineChart>
      <c:catAx>
        <c:axId val="10931334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071760"/>
        <c:crosses val="autoZero"/>
        <c:auto val="1"/>
        <c:lblAlgn val="ctr"/>
        <c:lblOffset val="100"/>
        <c:noMultiLvlLbl val="0"/>
      </c:catAx>
      <c:valAx>
        <c:axId val="865071760"/>
        <c:scaling>
          <c:orientation val="minMax"/>
          <c:min val="42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3133488"/>
        <c:crosses val="autoZero"/>
        <c:crossBetween val="between"/>
        <c:majorUnit val="3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2010 - 2011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'LA STL Rams'!$D$181</c:f>
              <c:strCache>
                <c:ptCount val="1"/>
                <c:pt idx="0">
                  <c:v>week</c:v>
                </c:pt>
              </c:strCache>
            </c:strRef>
          </c:tx>
          <c:spPr>
            <a:ln w="28575" cap="rnd">
              <a:solidFill>
                <a:schemeClr val="accent1"/>
              </a:solidFill>
              <a:round/>
            </a:ln>
            <a:effectLst/>
          </c:spPr>
          <c:marker>
            <c:symbol val="none"/>
          </c:marker>
          <c:cat>
            <c:strLit>
              <c:ptCount val="8"/>
              <c:pt idx="0">
                <c:v>1</c:v>
              </c:pt>
              <c:pt idx="1">
                <c:v>3</c:v>
              </c:pt>
              <c:pt idx="2">
                <c:v>4</c:v>
              </c:pt>
              <c:pt idx="3">
                <c:v>6</c:v>
              </c:pt>
              <c:pt idx="4">
                <c:v>8</c:v>
              </c:pt>
              <c:pt idx="5">
                <c:v>11</c:v>
              </c:pt>
              <c:pt idx="6">
                <c:v>15</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'LA STL Rams'!$D$182:$D$198</c15:sqref>
                  </c15:fullRef>
                </c:ext>
              </c:extLst>
              <c:f>('LA STL Rams'!$D$182,'LA STL Rams'!$D$184:$D$185,'LA STL Rams'!$D$187,'LA STL Rams'!$D$189,'LA STL Rams'!$D$192,'LA STL Rams'!$D$196:$D$197)</c:f>
              <c:numCache>
                <c:formatCode>General</c:formatCode>
                <c:ptCount val="8"/>
                <c:pt idx="0">
                  <c:v>1</c:v>
                </c:pt>
                <c:pt idx="1">
                  <c:v>3</c:v>
                </c:pt>
                <c:pt idx="2">
                  <c:v>4</c:v>
                </c:pt>
                <c:pt idx="3">
                  <c:v>6</c:v>
                </c:pt>
                <c:pt idx="4">
                  <c:v>8</c:v>
                </c:pt>
                <c:pt idx="5">
                  <c:v>11</c:v>
                </c:pt>
                <c:pt idx="6">
                  <c:v>15</c:v>
                </c:pt>
                <c:pt idx="7">
                  <c:v>16</c:v>
                </c:pt>
              </c:numCache>
            </c:numRef>
          </c:val>
          <c:smooth val="0"/>
          <c:extLst>
            <c:ext xmlns:c16="http://schemas.microsoft.com/office/drawing/2014/chart" uri="{C3380CC4-5D6E-409C-BE32-E72D297353CC}">
              <c16:uniqueId val="{00000000-F4C7-454B-A3C4-F1F8E9E80052}"/>
            </c:ext>
          </c:extLst>
        </c:ser>
        <c:ser>
          <c:idx val="1"/>
          <c:order val="1"/>
          <c:tx>
            <c:strRef>
              <c:f>'LA STL Rams'!$E$181</c:f>
              <c:strCache>
                <c:ptCount val="1"/>
                <c:pt idx="0">
                  <c:v>weekly_attendance</c:v>
                </c:pt>
              </c:strCache>
            </c:strRef>
          </c:tx>
          <c:spPr>
            <a:ln w="28575" cap="rnd">
              <a:solidFill>
                <a:schemeClr val="accent2"/>
              </a:solidFill>
              <a:round/>
            </a:ln>
            <a:effectLst/>
          </c:spPr>
          <c:marker>
            <c:symbol val="none"/>
          </c:marker>
          <c:cat>
            <c:strLit>
              <c:ptCount val="8"/>
              <c:pt idx="0">
                <c:v>1</c:v>
              </c:pt>
              <c:pt idx="1">
                <c:v>3</c:v>
              </c:pt>
              <c:pt idx="2">
                <c:v>4</c:v>
              </c:pt>
              <c:pt idx="3">
                <c:v>6</c:v>
              </c:pt>
              <c:pt idx="4">
                <c:v>8</c:v>
              </c:pt>
              <c:pt idx="5">
                <c:v>11</c:v>
              </c:pt>
              <c:pt idx="6">
                <c:v>15</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'LA STL Rams'!$E$182:$E$198</c15:sqref>
                  </c15:fullRef>
                </c:ext>
              </c:extLst>
              <c:f>('LA STL Rams'!$E$182,'LA STL Rams'!$E$184:$E$185,'LA STL Rams'!$E$187,'LA STL Rams'!$E$189,'LA STL Rams'!$E$192,'LA STL Rams'!$E$196:$E$197)</c:f>
              <c:numCache>
                <c:formatCode>General</c:formatCode>
                <c:ptCount val="8"/>
                <c:pt idx="0">
                  <c:v>52440</c:v>
                </c:pt>
                <c:pt idx="1">
                  <c:v>52370</c:v>
                </c:pt>
                <c:pt idx="2">
                  <c:v>52326</c:v>
                </c:pt>
                <c:pt idx="3">
                  <c:v>52472</c:v>
                </c:pt>
                <c:pt idx="4">
                  <c:v>52281</c:v>
                </c:pt>
                <c:pt idx="5">
                  <c:v>53005</c:v>
                </c:pt>
                <c:pt idx="6">
                  <c:v>55669</c:v>
                </c:pt>
                <c:pt idx="7">
                  <c:v>52820</c:v>
                </c:pt>
              </c:numCache>
            </c:numRef>
          </c:val>
          <c:smooth val="0"/>
          <c:extLst>
            <c:ext xmlns:c16="http://schemas.microsoft.com/office/drawing/2014/chart" uri="{C3380CC4-5D6E-409C-BE32-E72D297353CC}">
              <c16:uniqueId val="{00000001-F4C7-454B-A3C4-F1F8E9E80052}"/>
            </c:ext>
          </c:extLst>
        </c:ser>
        <c:dLbls>
          <c:showLegendKey val="0"/>
          <c:showVal val="0"/>
          <c:showCatName val="0"/>
          <c:showSerName val="0"/>
          <c:showPercent val="0"/>
          <c:showBubbleSize val="0"/>
        </c:dLbls>
        <c:smooth val="0"/>
        <c:axId val="1141989984"/>
        <c:axId val="1141987584"/>
      </c:lineChart>
      <c:catAx>
        <c:axId val="1141989984"/>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1987584"/>
        <c:crosses val="autoZero"/>
        <c:auto val="1"/>
        <c:lblAlgn val="ctr"/>
        <c:lblOffset val="100"/>
        <c:noMultiLvlLbl val="0"/>
      </c:catAx>
      <c:valAx>
        <c:axId val="1141987584"/>
        <c:scaling>
          <c:orientation val="minMax"/>
          <c:min val="50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1989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2011 - 2012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'LA STL Rams'!$D$199</c:f>
              <c:strCache>
                <c:ptCount val="1"/>
                <c:pt idx="0">
                  <c:v>week</c:v>
                </c:pt>
              </c:strCache>
            </c:strRef>
          </c:tx>
          <c:spPr>
            <a:ln w="28575" cap="rnd">
              <a:solidFill>
                <a:schemeClr val="accent1"/>
              </a:solidFill>
              <a:round/>
            </a:ln>
            <a:effectLst/>
          </c:spPr>
          <c:marker>
            <c:symbol val="none"/>
          </c:marker>
          <c:cat>
            <c:strLit>
              <c:ptCount val="8"/>
              <c:pt idx="0">
                <c:v>1</c:v>
              </c:pt>
              <c:pt idx="1">
                <c:v>3</c:v>
              </c:pt>
              <c:pt idx="2">
                <c:v>4</c:v>
              </c:pt>
              <c:pt idx="3">
                <c:v>8</c:v>
              </c:pt>
              <c:pt idx="4">
                <c:v>11</c:v>
              </c:pt>
              <c:pt idx="5">
                <c:v>12</c:v>
              </c:pt>
              <c:pt idx="6">
                <c:v>15</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'LA STL Rams'!$D$200:$D$216</c15:sqref>
                  </c15:fullRef>
                </c:ext>
              </c:extLst>
              <c:f>('LA STL Rams'!$D$200,'LA STL Rams'!$D$202:$D$203,'LA STL Rams'!$D$207,'LA STL Rams'!$D$210:$D$211,'LA STL Rams'!$D$214,'LA STL Rams'!$D$216)</c:f>
              <c:numCache>
                <c:formatCode>General</c:formatCode>
                <c:ptCount val="8"/>
                <c:pt idx="0">
                  <c:v>1</c:v>
                </c:pt>
                <c:pt idx="1">
                  <c:v>3</c:v>
                </c:pt>
                <c:pt idx="2">
                  <c:v>4</c:v>
                </c:pt>
                <c:pt idx="3">
                  <c:v>8</c:v>
                </c:pt>
                <c:pt idx="4">
                  <c:v>11</c:v>
                </c:pt>
                <c:pt idx="5">
                  <c:v>12</c:v>
                </c:pt>
                <c:pt idx="6">
                  <c:v>15</c:v>
                </c:pt>
                <c:pt idx="7">
                  <c:v>17</c:v>
                </c:pt>
              </c:numCache>
            </c:numRef>
          </c:val>
          <c:smooth val="0"/>
          <c:extLst>
            <c:ext xmlns:c16="http://schemas.microsoft.com/office/drawing/2014/chart" uri="{C3380CC4-5D6E-409C-BE32-E72D297353CC}">
              <c16:uniqueId val="{00000000-DE80-4E21-ACE6-853AEBB2A40F}"/>
            </c:ext>
          </c:extLst>
        </c:ser>
        <c:ser>
          <c:idx val="1"/>
          <c:order val="1"/>
          <c:tx>
            <c:strRef>
              <c:f>'LA STL Rams'!$E$199</c:f>
              <c:strCache>
                <c:ptCount val="1"/>
                <c:pt idx="0">
                  <c:v>weekly_attendance</c:v>
                </c:pt>
              </c:strCache>
            </c:strRef>
          </c:tx>
          <c:spPr>
            <a:ln w="28575" cap="rnd">
              <a:solidFill>
                <a:schemeClr val="accent2"/>
              </a:solidFill>
              <a:round/>
            </a:ln>
            <a:effectLst/>
          </c:spPr>
          <c:marker>
            <c:symbol val="none"/>
          </c:marker>
          <c:cat>
            <c:strLit>
              <c:ptCount val="8"/>
              <c:pt idx="0">
                <c:v>1</c:v>
              </c:pt>
              <c:pt idx="1">
                <c:v>3</c:v>
              </c:pt>
              <c:pt idx="2">
                <c:v>4</c:v>
              </c:pt>
              <c:pt idx="3">
                <c:v>8</c:v>
              </c:pt>
              <c:pt idx="4">
                <c:v>11</c:v>
              </c:pt>
              <c:pt idx="5">
                <c:v>12</c:v>
              </c:pt>
              <c:pt idx="6">
                <c:v>15</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'LA STL Rams'!$E$200:$E$216</c15:sqref>
                  </c15:fullRef>
                </c:ext>
              </c:extLst>
              <c:f>('LA STL Rams'!$E$200,'LA STL Rams'!$E$202:$E$203,'LA STL Rams'!$E$207,'LA STL Rams'!$E$210:$E$211,'LA STL Rams'!$E$214,'LA STL Rams'!$E$216)</c:f>
              <c:numCache>
                <c:formatCode>General</c:formatCode>
                <c:ptCount val="8"/>
                <c:pt idx="0">
                  <c:v>56722</c:v>
                </c:pt>
                <c:pt idx="1">
                  <c:v>56289</c:v>
                </c:pt>
                <c:pt idx="2">
                  <c:v>56113</c:v>
                </c:pt>
                <c:pt idx="3">
                  <c:v>57179</c:v>
                </c:pt>
                <c:pt idx="4">
                  <c:v>56400</c:v>
                </c:pt>
                <c:pt idx="5">
                  <c:v>56029</c:v>
                </c:pt>
                <c:pt idx="6">
                  <c:v>56431</c:v>
                </c:pt>
                <c:pt idx="7">
                  <c:v>55990</c:v>
                </c:pt>
              </c:numCache>
            </c:numRef>
          </c:val>
          <c:smooth val="0"/>
          <c:extLst>
            <c:ext xmlns:c16="http://schemas.microsoft.com/office/drawing/2014/chart" uri="{C3380CC4-5D6E-409C-BE32-E72D297353CC}">
              <c16:uniqueId val="{00000001-DE80-4E21-ACE6-853AEBB2A40F}"/>
            </c:ext>
          </c:extLst>
        </c:ser>
        <c:dLbls>
          <c:showLegendKey val="0"/>
          <c:showVal val="0"/>
          <c:showCatName val="0"/>
          <c:showSerName val="0"/>
          <c:showPercent val="0"/>
          <c:showBubbleSize val="0"/>
        </c:dLbls>
        <c:smooth val="0"/>
        <c:axId val="1151959136"/>
        <c:axId val="1151960576"/>
      </c:lineChart>
      <c:catAx>
        <c:axId val="11519591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1960576"/>
        <c:crosses val="autoZero"/>
        <c:auto val="1"/>
        <c:lblAlgn val="ctr"/>
        <c:lblOffset val="100"/>
        <c:noMultiLvlLbl val="0"/>
      </c:catAx>
      <c:valAx>
        <c:axId val="1151960576"/>
        <c:scaling>
          <c:orientation val="minMax"/>
          <c:min val="55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1959136"/>
        <c:crosses val="autoZero"/>
        <c:crossBetween val="between"/>
        <c:maj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2012 - 2013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'LA STL Rams'!$D$217</c:f>
              <c:strCache>
                <c:ptCount val="1"/>
                <c:pt idx="0">
                  <c:v>week</c:v>
                </c:pt>
              </c:strCache>
            </c:strRef>
          </c:tx>
          <c:spPr>
            <a:ln w="28575" cap="rnd">
              <a:solidFill>
                <a:schemeClr val="accent1"/>
              </a:solidFill>
              <a:round/>
            </a:ln>
            <a:effectLst/>
          </c:spPr>
          <c:marker>
            <c:symbol val="none"/>
          </c:marker>
          <c:cat>
            <c:strLit>
              <c:ptCount val="8"/>
              <c:pt idx="0">
                <c:v>2</c:v>
              </c:pt>
              <c:pt idx="1">
                <c:v>4</c:v>
              </c:pt>
              <c:pt idx="2">
                <c:v>5</c:v>
              </c:pt>
              <c:pt idx="3">
                <c:v>7</c:v>
              </c:pt>
              <c:pt idx="4">
                <c:v>8</c:v>
              </c:pt>
              <c:pt idx="5">
                <c:v>11</c:v>
              </c:pt>
              <c:pt idx="6">
                <c:v>13</c:v>
              </c:pt>
              <c:pt idx="7">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'LA STL Rams'!$D$218:$D$234</c15:sqref>
                  </c15:fullRef>
                </c:ext>
              </c:extLst>
              <c:f>('LA STL Rams'!$D$219,'LA STL Rams'!$D$221:$D$222,'LA STL Rams'!$D$224:$D$225,'LA STL Rams'!$D$228,'LA STL Rams'!$D$230,'LA STL Rams'!$D$232)</c:f>
              <c:numCache>
                <c:formatCode>General</c:formatCode>
                <c:ptCount val="8"/>
                <c:pt idx="0">
                  <c:v>2</c:v>
                </c:pt>
                <c:pt idx="1">
                  <c:v>4</c:v>
                </c:pt>
                <c:pt idx="2">
                  <c:v>5</c:v>
                </c:pt>
                <c:pt idx="3">
                  <c:v>7</c:v>
                </c:pt>
                <c:pt idx="4">
                  <c:v>8</c:v>
                </c:pt>
                <c:pt idx="5">
                  <c:v>11</c:v>
                </c:pt>
                <c:pt idx="6">
                  <c:v>13</c:v>
                </c:pt>
                <c:pt idx="7">
                  <c:v>15</c:v>
                </c:pt>
              </c:numCache>
            </c:numRef>
          </c:val>
          <c:smooth val="0"/>
          <c:extLst>
            <c:ext xmlns:c16="http://schemas.microsoft.com/office/drawing/2014/chart" uri="{C3380CC4-5D6E-409C-BE32-E72D297353CC}">
              <c16:uniqueId val="{00000000-4140-4449-91B8-B5496D4CD554}"/>
            </c:ext>
          </c:extLst>
        </c:ser>
        <c:ser>
          <c:idx val="1"/>
          <c:order val="1"/>
          <c:tx>
            <c:strRef>
              <c:f>'LA STL Rams'!$E$217</c:f>
              <c:strCache>
                <c:ptCount val="1"/>
                <c:pt idx="0">
                  <c:v>weekly_attendance</c:v>
                </c:pt>
              </c:strCache>
            </c:strRef>
          </c:tx>
          <c:spPr>
            <a:ln w="28575" cap="rnd">
              <a:solidFill>
                <a:schemeClr val="accent2"/>
              </a:solidFill>
              <a:round/>
            </a:ln>
            <a:effectLst/>
          </c:spPr>
          <c:marker>
            <c:symbol val="none"/>
          </c:marker>
          <c:cat>
            <c:strLit>
              <c:ptCount val="8"/>
              <c:pt idx="0">
                <c:v>2</c:v>
              </c:pt>
              <c:pt idx="1">
                <c:v>4</c:v>
              </c:pt>
              <c:pt idx="2">
                <c:v>5</c:v>
              </c:pt>
              <c:pt idx="3">
                <c:v>7</c:v>
              </c:pt>
              <c:pt idx="4">
                <c:v>8</c:v>
              </c:pt>
              <c:pt idx="5">
                <c:v>11</c:v>
              </c:pt>
              <c:pt idx="6">
                <c:v>13</c:v>
              </c:pt>
              <c:pt idx="7">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'LA STL Rams'!$E$218:$E$234</c15:sqref>
                  </c15:fullRef>
                </c:ext>
              </c:extLst>
              <c:f>('LA STL Rams'!$E$219,'LA STL Rams'!$E$221:$E$222,'LA STL Rams'!$E$224:$E$225,'LA STL Rams'!$E$228,'LA STL Rams'!$E$230,'LA STL Rams'!$E$232)</c:f>
              <c:numCache>
                <c:formatCode>General</c:formatCode>
                <c:ptCount val="8"/>
                <c:pt idx="0">
                  <c:v>53979</c:v>
                </c:pt>
                <c:pt idx="1">
                  <c:v>53193</c:v>
                </c:pt>
                <c:pt idx="2">
                  <c:v>54653</c:v>
                </c:pt>
                <c:pt idx="3">
                  <c:v>64359</c:v>
                </c:pt>
                <c:pt idx="4">
                  <c:v>64004</c:v>
                </c:pt>
                <c:pt idx="5">
                  <c:v>57711</c:v>
                </c:pt>
                <c:pt idx="6">
                  <c:v>57279</c:v>
                </c:pt>
                <c:pt idx="7">
                  <c:v>55751</c:v>
                </c:pt>
              </c:numCache>
            </c:numRef>
          </c:val>
          <c:smooth val="0"/>
          <c:extLst>
            <c:ext xmlns:c16="http://schemas.microsoft.com/office/drawing/2014/chart" uri="{C3380CC4-5D6E-409C-BE32-E72D297353CC}">
              <c16:uniqueId val="{00000001-4140-4449-91B8-B5496D4CD554}"/>
            </c:ext>
          </c:extLst>
        </c:ser>
        <c:dLbls>
          <c:showLegendKey val="0"/>
          <c:showVal val="0"/>
          <c:showCatName val="0"/>
          <c:showSerName val="0"/>
          <c:showPercent val="0"/>
          <c:showBubbleSize val="0"/>
        </c:dLbls>
        <c:smooth val="0"/>
        <c:axId val="1075061424"/>
        <c:axId val="1151961536"/>
      </c:lineChart>
      <c:catAx>
        <c:axId val="1075061424"/>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1961536"/>
        <c:crosses val="autoZero"/>
        <c:auto val="1"/>
        <c:lblAlgn val="ctr"/>
        <c:lblOffset val="100"/>
        <c:noMultiLvlLbl val="0"/>
      </c:catAx>
      <c:valAx>
        <c:axId val="1151961536"/>
        <c:scaling>
          <c:orientation val="minMax"/>
          <c:max val="65000"/>
          <c:min val="52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5061424"/>
        <c:crosses val="autoZero"/>
        <c:crossBetween val="between"/>
        <c:majorUnit val="2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2013 - 2014</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'LA STL Rams'!$D$235</c:f>
              <c:strCache>
                <c:ptCount val="1"/>
                <c:pt idx="0">
                  <c:v>week</c:v>
                </c:pt>
              </c:strCache>
            </c:strRef>
          </c:tx>
          <c:spPr>
            <a:ln w="28575" cap="rnd">
              <a:solidFill>
                <a:schemeClr val="accent1"/>
              </a:solidFill>
              <a:round/>
            </a:ln>
            <a:effectLst/>
          </c:spPr>
          <c:marker>
            <c:symbol val="none"/>
          </c:marker>
          <c:cat>
            <c:strLit>
              <c:ptCount val="8"/>
              <c:pt idx="0">
                <c:v>1</c:v>
              </c:pt>
              <c:pt idx="1">
                <c:v>4</c:v>
              </c:pt>
              <c:pt idx="2">
                <c:v>5</c:v>
              </c:pt>
              <c:pt idx="3">
                <c:v>8</c:v>
              </c:pt>
              <c:pt idx="4">
                <c:v>9</c:v>
              </c:pt>
              <c:pt idx="5">
                <c:v>12</c:v>
              </c:pt>
              <c:pt idx="6">
                <c:v>15</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'LA STL Rams'!$D$236:$D$252</c15:sqref>
                  </c15:fullRef>
                </c:ext>
              </c:extLst>
              <c:f>('LA STL Rams'!$D$236,'LA STL Rams'!$D$239:$D$240,'LA STL Rams'!$D$243:$D$244,'LA STL Rams'!$D$247,'LA STL Rams'!$D$250:$D$251)</c:f>
              <c:numCache>
                <c:formatCode>General</c:formatCode>
                <c:ptCount val="8"/>
                <c:pt idx="0">
                  <c:v>1</c:v>
                </c:pt>
                <c:pt idx="1">
                  <c:v>4</c:v>
                </c:pt>
                <c:pt idx="2">
                  <c:v>5</c:v>
                </c:pt>
                <c:pt idx="3">
                  <c:v>8</c:v>
                </c:pt>
                <c:pt idx="4">
                  <c:v>9</c:v>
                </c:pt>
                <c:pt idx="5">
                  <c:v>12</c:v>
                </c:pt>
                <c:pt idx="6">
                  <c:v>15</c:v>
                </c:pt>
                <c:pt idx="7">
                  <c:v>16</c:v>
                </c:pt>
              </c:numCache>
            </c:numRef>
          </c:val>
          <c:smooth val="0"/>
          <c:extLst>
            <c:ext xmlns:c16="http://schemas.microsoft.com/office/drawing/2014/chart" uri="{C3380CC4-5D6E-409C-BE32-E72D297353CC}">
              <c16:uniqueId val="{00000000-8986-4814-A454-2E099A022920}"/>
            </c:ext>
          </c:extLst>
        </c:ser>
        <c:ser>
          <c:idx val="1"/>
          <c:order val="1"/>
          <c:tx>
            <c:strRef>
              <c:f>'LA STL Rams'!$E$235</c:f>
              <c:strCache>
                <c:ptCount val="1"/>
                <c:pt idx="0">
                  <c:v>weekly_attendance</c:v>
                </c:pt>
              </c:strCache>
            </c:strRef>
          </c:tx>
          <c:spPr>
            <a:ln w="28575" cap="rnd">
              <a:solidFill>
                <a:schemeClr val="accent2"/>
              </a:solidFill>
              <a:round/>
            </a:ln>
            <a:effectLst/>
          </c:spPr>
          <c:marker>
            <c:symbol val="none"/>
          </c:marker>
          <c:cat>
            <c:strLit>
              <c:ptCount val="8"/>
              <c:pt idx="0">
                <c:v>1</c:v>
              </c:pt>
              <c:pt idx="1">
                <c:v>4</c:v>
              </c:pt>
              <c:pt idx="2">
                <c:v>5</c:v>
              </c:pt>
              <c:pt idx="3">
                <c:v>8</c:v>
              </c:pt>
              <c:pt idx="4">
                <c:v>9</c:v>
              </c:pt>
              <c:pt idx="5">
                <c:v>12</c:v>
              </c:pt>
              <c:pt idx="6">
                <c:v>15</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'LA STL Rams'!$E$236:$E$252</c15:sqref>
                  </c15:fullRef>
                </c:ext>
              </c:extLst>
              <c:f>('LA STL Rams'!$E$236,'LA STL Rams'!$E$239:$E$240,'LA STL Rams'!$E$243:$E$244,'LA STL Rams'!$E$247,'LA STL Rams'!$E$250:$E$251)</c:f>
              <c:numCache>
                <c:formatCode>General</c:formatCode>
                <c:ptCount val="8"/>
                <c:pt idx="0">
                  <c:v>55279</c:v>
                </c:pt>
                <c:pt idx="1">
                  <c:v>56640</c:v>
                </c:pt>
                <c:pt idx="2">
                  <c:v>54266</c:v>
                </c:pt>
                <c:pt idx="3">
                  <c:v>55966</c:v>
                </c:pt>
                <c:pt idx="4">
                  <c:v>54617</c:v>
                </c:pt>
                <c:pt idx="5">
                  <c:v>66024</c:v>
                </c:pt>
                <c:pt idx="6">
                  <c:v>58442</c:v>
                </c:pt>
                <c:pt idx="7">
                  <c:v>54423</c:v>
                </c:pt>
              </c:numCache>
            </c:numRef>
          </c:val>
          <c:smooth val="0"/>
          <c:extLst>
            <c:ext xmlns:c16="http://schemas.microsoft.com/office/drawing/2014/chart" uri="{C3380CC4-5D6E-409C-BE32-E72D297353CC}">
              <c16:uniqueId val="{00000001-8986-4814-A454-2E099A022920}"/>
            </c:ext>
          </c:extLst>
        </c:ser>
        <c:dLbls>
          <c:showLegendKey val="0"/>
          <c:showVal val="0"/>
          <c:showCatName val="0"/>
          <c:showSerName val="0"/>
          <c:showPercent val="0"/>
          <c:showBubbleSize val="0"/>
        </c:dLbls>
        <c:smooth val="0"/>
        <c:axId val="651943104"/>
        <c:axId val="651939744"/>
      </c:lineChart>
      <c:catAx>
        <c:axId val="651943104"/>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1939744"/>
        <c:crosses val="autoZero"/>
        <c:auto val="1"/>
        <c:lblAlgn val="ctr"/>
        <c:lblOffset val="100"/>
        <c:noMultiLvlLbl val="0"/>
      </c:catAx>
      <c:valAx>
        <c:axId val="651939744"/>
        <c:scaling>
          <c:orientation val="minMax"/>
          <c:min val="53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1943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2014 - 2015</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'LA STL Rams'!$D$253</c:f>
              <c:strCache>
                <c:ptCount val="1"/>
                <c:pt idx="0">
                  <c:v>week</c:v>
                </c:pt>
              </c:strCache>
            </c:strRef>
          </c:tx>
          <c:spPr>
            <a:ln w="28575" cap="rnd">
              <a:solidFill>
                <a:schemeClr val="accent1"/>
              </a:solidFill>
              <a:round/>
            </a:ln>
            <a:effectLst/>
          </c:spPr>
          <c:marker>
            <c:symbol val="none"/>
          </c:marker>
          <c:cat>
            <c:strLit>
              <c:ptCount val="8"/>
              <c:pt idx="0">
                <c:v>1</c:v>
              </c:pt>
              <c:pt idx="1">
                <c:v>3</c:v>
              </c:pt>
              <c:pt idx="2">
                <c:v>6</c:v>
              </c:pt>
              <c:pt idx="3">
                <c:v>7</c:v>
              </c:pt>
              <c:pt idx="4">
                <c:v>11</c:v>
              </c:pt>
              <c:pt idx="5">
                <c:v>13</c:v>
              </c:pt>
              <c:pt idx="6">
                <c:v>15</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'LA STL Rams'!$D$254:$D$270</c15:sqref>
                  </c15:fullRef>
                </c:ext>
              </c:extLst>
              <c:f>('LA STL Rams'!$D$254,'LA STL Rams'!$D$256,'LA STL Rams'!$D$259:$D$260,'LA STL Rams'!$D$264,'LA STL Rams'!$D$266,'LA STL Rams'!$D$268:$D$269)</c:f>
              <c:numCache>
                <c:formatCode>General</c:formatCode>
                <c:ptCount val="8"/>
                <c:pt idx="0">
                  <c:v>1</c:v>
                </c:pt>
                <c:pt idx="1">
                  <c:v>3</c:v>
                </c:pt>
                <c:pt idx="2">
                  <c:v>6</c:v>
                </c:pt>
                <c:pt idx="3">
                  <c:v>7</c:v>
                </c:pt>
                <c:pt idx="4">
                  <c:v>11</c:v>
                </c:pt>
                <c:pt idx="5">
                  <c:v>13</c:v>
                </c:pt>
                <c:pt idx="6">
                  <c:v>15</c:v>
                </c:pt>
                <c:pt idx="7">
                  <c:v>16</c:v>
                </c:pt>
              </c:numCache>
            </c:numRef>
          </c:val>
          <c:smooth val="0"/>
          <c:extLst>
            <c:ext xmlns:c16="http://schemas.microsoft.com/office/drawing/2014/chart" uri="{C3380CC4-5D6E-409C-BE32-E72D297353CC}">
              <c16:uniqueId val="{00000000-D592-441E-8275-460CC2D235D1}"/>
            </c:ext>
          </c:extLst>
        </c:ser>
        <c:ser>
          <c:idx val="1"/>
          <c:order val="1"/>
          <c:tx>
            <c:strRef>
              <c:f>'LA STL Rams'!$E$253</c:f>
              <c:strCache>
                <c:ptCount val="1"/>
                <c:pt idx="0">
                  <c:v>weekly_attendance</c:v>
                </c:pt>
              </c:strCache>
            </c:strRef>
          </c:tx>
          <c:spPr>
            <a:ln w="28575" cap="rnd">
              <a:solidFill>
                <a:schemeClr val="accent2"/>
              </a:solidFill>
              <a:round/>
            </a:ln>
            <a:effectLst/>
          </c:spPr>
          <c:marker>
            <c:symbol val="none"/>
          </c:marker>
          <c:cat>
            <c:strLit>
              <c:ptCount val="8"/>
              <c:pt idx="0">
                <c:v>1</c:v>
              </c:pt>
              <c:pt idx="1">
                <c:v>3</c:v>
              </c:pt>
              <c:pt idx="2">
                <c:v>6</c:v>
              </c:pt>
              <c:pt idx="3">
                <c:v>7</c:v>
              </c:pt>
              <c:pt idx="4">
                <c:v>11</c:v>
              </c:pt>
              <c:pt idx="5">
                <c:v>13</c:v>
              </c:pt>
              <c:pt idx="6">
                <c:v>15</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'LA STL Rams'!$E$254:$E$270</c15:sqref>
                  </c15:fullRef>
                </c:ext>
              </c:extLst>
              <c:f>('LA STL Rams'!$E$254,'LA STL Rams'!$E$256,'LA STL Rams'!$E$259:$E$260,'LA STL Rams'!$E$264,'LA STL Rams'!$E$266,'LA STL Rams'!$E$268:$E$269)</c:f>
              <c:numCache>
                <c:formatCode>General</c:formatCode>
                <c:ptCount val="8"/>
                <c:pt idx="0">
                  <c:v>55919</c:v>
                </c:pt>
                <c:pt idx="1">
                  <c:v>58739</c:v>
                </c:pt>
                <c:pt idx="2">
                  <c:v>56851</c:v>
                </c:pt>
                <c:pt idx="3">
                  <c:v>57855</c:v>
                </c:pt>
                <c:pt idx="4">
                  <c:v>59401</c:v>
                </c:pt>
                <c:pt idx="5">
                  <c:v>55650</c:v>
                </c:pt>
                <c:pt idx="6">
                  <c:v>55880</c:v>
                </c:pt>
                <c:pt idx="7">
                  <c:v>55851</c:v>
                </c:pt>
              </c:numCache>
            </c:numRef>
          </c:val>
          <c:smooth val="0"/>
          <c:extLst>
            <c:ext xmlns:c16="http://schemas.microsoft.com/office/drawing/2014/chart" uri="{C3380CC4-5D6E-409C-BE32-E72D297353CC}">
              <c16:uniqueId val="{00000001-D592-441E-8275-460CC2D235D1}"/>
            </c:ext>
          </c:extLst>
        </c:ser>
        <c:dLbls>
          <c:showLegendKey val="0"/>
          <c:showVal val="0"/>
          <c:showCatName val="0"/>
          <c:showSerName val="0"/>
          <c:showPercent val="0"/>
          <c:showBubbleSize val="0"/>
        </c:dLbls>
        <c:smooth val="0"/>
        <c:axId val="1133292032"/>
        <c:axId val="1133292992"/>
      </c:lineChart>
      <c:catAx>
        <c:axId val="113329203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3292992"/>
        <c:crosses val="autoZero"/>
        <c:auto val="1"/>
        <c:lblAlgn val="ctr"/>
        <c:lblOffset val="100"/>
        <c:noMultiLvlLbl val="0"/>
      </c:catAx>
      <c:valAx>
        <c:axId val="1133292992"/>
        <c:scaling>
          <c:orientation val="minMax"/>
          <c:min val="55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3292032"/>
        <c:crosses val="autoZero"/>
        <c:crossBetween val="between"/>
        <c:maj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2015 - 2016</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'LA STL Rams'!$D$271</c:f>
              <c:strCache>
                <c:ptCount val="1"/>
                <c:pt idx="0">
                  <c:v>week</c:v>
                </c:pt>
              </c:strCache>
            </c:strRef>
          </c:tx>
          <c:spPr>
            <a:ln w="28575" cap="rnd">
              <a:solidFill>
                <a:schemeClr val="accent1"/>
              </a:solidFill>
              <a:round/>
            </a:ln>
            <a:effectLst/>
          </c:spPr>
          <c:marker>
            <c:symbol val="none"/>
          </c:marker>
          <c:cat>
            <c:strLit>
              <c:ptCount val="8"/>
              <c:pt idx="0">
                <c:v>1</c:v>
              </c:pt>
              <c:pt idx="1">
                <c:v>3</c:v>
              </c:pt>
              <c:pt idx="2">
                <c:v>7</c:v>
              </c:pt>
              <c:pt idx="3">
                <c:v>8</c:v>
              </c:pt>
              <c:pt idx="4">
                <c:v>10</c:v>
              </c:pt>
              <c:pt idx="5">
                <c:v>13</c:v>
              </c:pt>
              <c:pt idx="6">
                <c:v>14</c:v>
              </c:pt>
              <c:pt idx="7">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'LA STL Rams'!$D$272:$D$288</c15:sqref>
                  </c15:fullRef>
                </c:ext>
              </c:extLst>
              <c:f>('LA STL Rams'!$D$272,'LA STL Rams'!$D$274,'LA STL Rams'!$D$278:$D$279,'LA STL Rams'!$D$281,'LA STL Rams'!$D$284:$D$286)</c:f>
              <c:numCache>
                <c:formatCode>General</c:formatCode>
                <c:ptCount val="8"/>
                <c:pt idx="0">
                  <c:v>1</c:v>
                </c:pt>
                <c:pt idx="1">
                  <c:v>3</c:v>
                </c:pt>
                <c:pt idx="2">
                  <c:v>7</c:v>
                </c:pt>
                <c:pt idx="3">
                  <c:v>8</c:v>
                </c:pt>
                <c:pt idx="4">
                  <c:v>10</c:v>
                </c:pt>
                <c:pt idx="5">
                  <c:v>13</c:v>
                </c:pt>
                <c:pt idx="6">
                  <c:v>14</c:v>
                </c:pt>
                <c:pt idx="7">
                  <c:v>15</c:v>
                </c:pt>
              </c:numCache>
            </c:numRef>
          </c:val>
          <c:smooth val="0"/>
          <c:extLst>
            <c:ext xmlns:c16="http://schemas.microsoft.com/office/drawing/2014/chart" uri="{C3380CC4-5D6E-409C-BE32-E72D297353CC}">
              <c16:uniqueId val="{00000000-B0BB-4E92-AD83-A9402D040A80}"/>
            </c:ext>
          </c:extLst>
        </c:ser>
        <c:ser>
          <c:idx val="1"/>
          <c:order val="1"/>
          <c:tx>
            <c:strRef>
              <c:f>'LA STL Rams'!$E$271</c:f>
              <c:strCache>
                <c:ptCount val="1"/>
                <c:pt idx="0">
                  <c:v>weekly_attendance</c:v>
                </c:pt>
              </c:strCache>
            </c:strRef>
          </c:tx>
          <c:spPr>
            <a:ln w="28575" cap="rnd">
              <a:solidFill>
                <a:schemeClr val="accent2"/>
              </a:solidFill>
              <a:round/>
            </a:ln>
            <a:effectLst/>
          </c:spPr>
          <c:marker>
            <c:symbol val="none"/>
          </c:marker>
          <c:cat>
            <c:strLit>
              <c:ptCount val="8"/>
              <c:pt idx="0">
                <c:v>1</c:v>
              </c:pt>
              <c:pt idx="1">
                <c:v>3</c:v>
              </c:pt>
              <c:pt idx="2">
                <c:v>7</c:v>
              </c:pt>
              <c:pt idx="3">
                <c:v>8</c:v>
              </c:pt>
              <c:pt idx="4">
                <c:v>10</c:v>
              </c:pt>
              <c:pt idx="5">
                <c:v>13</c:v>
              </c:pt>
              <c:pt idx="6">
                <c:v>14</c:v>
              </c:pt>
              <c:pt idx="7">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'LA STL Rams'!$E$272:$E$288</c15:sqref>
                  </c15:fullRef>
                </c:ext>
              </c:extLst>
              <c:f>('LA STL Rams'!$E$272,'LA STL Rams'!$E$274,'LA STL Rams'!$E$278:$E$279,'LA STL Rams'!$E$281,'LA STL Rams'!$E$284:$E$286)</c:f>
              <c:numCache>
                <c:formatCode>General</c:formatCode>
                <c:ptCount val="8"/>
                <c:pt idx="0">
                  <c:v>51792</c:v>
                </c:pt>
                <c:pt idx="1">
                  <c:v>52433</c:v>
                </c:pt>
                <c:pt idx="2">
                  <c:v>51523</c:v>
                </c:pt>
                <c:pt idx="3">
                  <c:v>51207</c:v>
                </c:pt>
                <c:pt idx="4">
                  <c:v>58653</c:v>
                </c:pt>
                <c:pt idx="5">
                  <c:v>51115</c:v>
                </c:pt>
                <c:pt idx="6">
                  <c:v>51202</c:v>
                </c:pt>
                <c:pt idx="7">
                  <c:v>51295</c:v>
                </c:pt>
              </c:numCache>
            </c:numRef>
          </c:val>
          <c:smooth val="0"/>
          <c:extLst>
            <c:ext xmlns:c16="http://schemas.microsoft.com/office/drawing/2014/chart" uri="{C3380CC4-5D6E-409C-BE32-E72D297353CC}">
              <c16:uniqueId val="{00000001-B0BB-4E92-AD83-A9402D040A80}"/>
            </c:ext>
          </c:extLst>
        </c:ser>
        <c:dLbls>
          <c:showLegendKey val="0"/>
          <c:showVal val="0"/>
          <c:showCatName val="0"/>
          <c:showSerName val="0"/>
          <c:showPercent val="0"/>
          <c:showBubbleSize val="0"/>
        </c:dLbls>
        <c:smooth val="0"/>
        <c:axId val="1122031472"/>
        <c:axId val="1122032432"/>
      </c:lineChart>
      <c:catAx>
        <c:axId val="112203147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2032432"/>
        <c:crosses val="autoZero"/>
        <c:auto val="1"/>
        <c:lblAlgn val="ctr"/>
        <c:lblOffset val="100"/>
        <c:noMultiLvlLbl val="0"/>
      </c:catAx>
      <c:valAx>
        <c:axId val="1122032432"/>
        <c:scaling>
          <c:orientation val="minMax"/>
          <c:min val="50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2031472"/>
        <c:crosses val="autoZero"/>
        <c:crossBetween val="between"/>
        <c:majorUnit val="2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2016 - 2017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'LA STL Rams'!$D$289</c:f>
              <c:strCache>
                <c:ptCount val="1"/>
                <c:pt idx="0">
                  <c:v>week</c:v>
                </c:pt>
              </c:strCache>
            </c:strRef>
          </c:tx>
          <c:spPr>
            <a:ln w="28575" cap="rnd">
              <a:solidFill>
                <a:schemeClr val="accent1"/>
              </a:solidFill>
              <a:round/>
            </a:ln>
            <a:effectLst/>
          </c:spPr>
          <c:marker>
            <c:symbol val="none"/>
          </c:marker>
          <c:cat>
            <c:strLit>
              <c:ptCount val="8"/>
              <c:pt idx="0">
                <c:v>2</c:v>
              </c:pt>
              <c:pt idx="1">
                <c:v>5</c:v>
              </c:pt>
              <c:pt idx="2">
                <c:v>7</c:v>
              </c:pt>
              <c:pt idx="3">
                <c:v>9</c:v>
              </c:pt>
              <c:pt idx="4">
                <c:v>11</c:v>
              </c:pt>
              <c:pt idx="5">
                <c:v>14</c:v>
              </c:pt>
              <c:pt idx="6">
                <c:v>16</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'LA STL Rams'!$D$290:$D$306</c15:sqref>
                  </c15:fullRef>
                </c:ext>
              </c:extLst>
              <c:f>('LA STL Rams'!$D$291,'LA STL Rams'!$D$294,'LA STL Rams'!$D$296,'LA STL Rams'!$D$298,'LA STL Rams'!$D$300,'LA STL Rams'!$D$303,'LA STL Rams'!$D$305:$D$306)</c:f>
              <c:numCache>
                <c:formatCode>General</c:formatCode>
                <c:ptCount val="8"/>
                <c:pt idx="0">
                  <c:v>2</c:v>
                </c:pt>
                <c:pt idx="1">
                  <c:v>5</c:v>
                </c:pt>
                <c:pt idx="2">
                  <c:v>7</c:v>
                </c:pt>
                <c:pt idx="3">
                  <c:v>9</c:v>
                </c:pt>
                <c:pt idx="4">
                  <c:v>11</c:v>
                </c:pt>
                <c:pt idx="5">
                  <c:v>14</c:v>
                </c:pt>
                <c:pt idx="6">
                  <c:v>16</c:v>
                </c:pt>
                <c:pt idx="7">
                  <c:v>17</c:v>
                </c:pt>
              </c:numCache>
            </c:numRef>
          </c:val>
          <c:smooth val="0"/>
          <c:extLst>
            <c:ext xmlns:c16="http://schemas.microsoft.com/office/drawing/2014/chart" uri="{C3380CC4-5D6E-409C-BE32-E72D297353CC}">
              <c16:uniqueId val="{00000000-9068-4651-8AED-78F123104FE2}"/>
            </c:ext>
          </c:extLst>
        </c:ser>
        <c:ser>
          <c:idx val="1"/>
          <c:order val="1"/>
          <c:tx>
            <c:strRef>
              <c:f>'LA STL Rams'!$E$289</c:f>
              <c:strCache>
                <c:ptCount val="1"/>
                <c:pt idx="0">
                  <c:v>weekly_attendance</c:v>
                </c:pt>
              </c:strCache>
            </c:strRef>
          </c:tx>
          <c:spPr>
            <a:ln w="28575" cap="rnd">
              <a:solidFill>
                <a:schemeClr val="accent2"/>
              </a:solidFill>
              <a:round/>
            </a:ln>
            <a:effectLst/>
          </c:spPr>
          <c:marker>
            <c:symbol val="none"/>
          </c:marker>
          <c:cat>
            <c:strLit>
              <c:ptCount val="8"/>
              <c:pt idx="0">
                <c:v>2</c:v>
              </c:pt>
              <c:pt idx="1">
                <c:v>5</c:v>
              </c:pt>
              <c:pt idx="2">
                <c:v>7</c:v>
              </c:pt>
              <c:pt idx="3">
                <c:v>9</c:v>
              </c:pt>
              <c:pt idx="4">
                <c:v>11</c:v>
              </c:pt>
              <c:pt idx="5">
                <c:v>14</c:v>
              </c:pt>
              <c:pt idx="6">
                <c:v>16</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'LA STL Rams'!$E$290:$E$306</c15:sqref>
                  </c15:fullRef>
                </c:ext>
              </c:extLst>
              <c:f>('LA STL Rams'!$E$291,'LA STL Rams'!$E$294,'LA STL Rams'!$E$296,'LA STL Rams'!$E$298,'LA STL Rams'!$E$300,'LA STL Rams'!$E$303,'LA STL Rams'!$E$305:$E$306)</c:f>
              <c:numCache>
                <c:formatCode>General</c:formatCode>
                <c:ptCount val="8"/>
                <c:pt idx="0">
                  <c:v>91046</c:v>
                </c:pt>
                <c:pt idx="1">
                  <c:v>83679</c:v>
                </c:pt>
                <c:pt idx="2">
                  <c:v>74121</c:v>
                </c:pt>
                <c:pt idx="3">
                  <c:v>86109</c:v>
                </c:pt>
                <c:pt idx="4">
                  <c:v>83483</c:v>
                </c:pt>
                <c:pt idx="5">
                  <c:v>82495</c:v>
                </c:pt>
                <c:pt idx="6">
                  <c:v>83656</c:v>
                </c:pt>
                <c:pt idx="7">
                  <c:v>80729</c:v>
                </c:pt>
              </c:numCache>
            </c:numRef>
          </c:val>
          <c:smooth val="0"/>
          <c:extLst>
            <c:ext xmlns:c16="http://schemas.microsoft.com/office/drawing/2014/chart" uri="{C3380CC4-5D6E-409C-BE32-E72D297353CC}">
              <c16:uniqueId val="{00000001-9068-4651-8AED-78F123104FE2}"/>
            </c:ext>
          </c:extLst>
        </c:ser>
        <c:dLbls>
          <c:showLegendKey val="0"/>
          <c:showVal val="0"/>
          <c:showCatName val="0"/>
          <c:showSerName val="0"/>
          <c:showPercent val="0"/>
          <c:showBubbleSize val="0"/>
        </c:dLbls>
        <c:smooth val="0"/>
        <c:axId val="646792016"/>
        <c:axId val="646793936"/>
      </c:lineChart>
      <c:catAx>
        <c:axId val="64679201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6793936"/>
        <c:crosses val="autoZero"/>
        <c:auto val="1"/>
        <c:lblAlgn val="ctr"/>
        <c:lblOffset val="100"/>
        <c:noMultiLvlLbl val="0"/>
      </c:catAx>
      <c:valAx>
        <c:axId val="646793936"/>
        <c:scaling>
          <c:orientation val="minMax"/>
          <c:min val="70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6792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2017 - 2018</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'LA STL Rams'!$D$307</c:f>
              <c:strCache>
                <c:ptCount val="1"/>
                <c:pt idx="0">
                  <c:v>week</c:v>
                </c:pt>
              </c:strCache>
            </c:strRef>
          </c:tx>
          <c:spPr>
            <a:ln w="28575" cap="rnd">
              <a:solidFill>
                <a:schemeClr val="accent1"/>
              </a:solidFill>
              <a:round/>
            </a:ln>
            <a:effectLst/>
          </c:spPr>
          <c:marker>
            <c:symbol val="none"/>
          </c:marker>
          <c:cat>
            <c:strLit>
              <c:ptCount val="8"/>
              <c:pt idx="0">
                <c:v>1</c:v>
              </c:pt>
              <c:pt idx="1">
                <c:v>2</c:v>
              </c:pt>
              <c:pt idx="2">
                <c:v>5</c:v>
              </c:pt>
              <c:pt idx="3">
                <c:v>7</c:v>
              </c:pt>
              <c:pt idx="4">
                <c:v>10</c:v>
              </c:pt>
              <c:pt idx="5">
                <c:v>12</c:v>
              </c:pt>
              <c:pt idx="6">
                <c:v>14</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'LA STL Rams'!$D$308:$D$324</c15:sqref>
                  </c15:fullRef>
                </c:ext>
              </c:extLst>
              <c:f>('LA STL Rams'!$D$308:$D$309,'LA STL Rams'!$D$312,'LA STL Rams'!$D$314,'LA STL Rams'!$D$317,'LA STL Rams'!$D$319,'LA STL Rams'!$D$321,'LA STL Rams'!$D$324)</c:f>
              <c:numCache>
                <c:formatCode>General</c:formatCode>
                <c:ptCount val="8"/>
                <c:pt idx="0">
                  <c:v>1</c:v>
                </c:pt>
                <c:pt idx="1">
                  <c:v>2</c:v>
                </c:pt>
                <c:pt idx="2">
                  <c:v>5</c:v>
                </c:pt>
                <c:pt idx="3">
                  <c:v>7</c:v>
                </c:pt>
                <c:pt idx="4">
                  <c:v>10</c:v>
                </c:pt>
                <c:pt idx="5">
                  <c:v>12</c:v>
                </c:pt>
                <c:pt idx="6">
                  <c:v>14</c:v>
                </c:pt>
                <c:pt idx="7">
                  <c:v>17</c:v>
                </c:pt>
              </c:numCache>
            </c:numRef>
          </c:val>
          <c:smooth val="0"/>
          <c:extLst>
            <c:ext xmlns:c16="http://schemas.microsoft.com/office/drawing/2014/chart" uri="{C3380CC4-5D6E-409C-BE32-E72D297353CC}">
              <c16:uniqueId val="{00000000-DD52-44A5-8AAD-9C957CBBB37C}"/>
            </c:ext>
          </c:extLst>
        </c:ser>
        <c:ser>
          <c:idx val="1"/>
          <c:order val="1"/>
          <c:tx>
            <c:strRef>
              <c:f>'LA STL Rams'!$E$307</c:f>
              <c:strCache>
                <c:ptCount val="1"/>
                <c:pt idx="0">
                  <c:v>weekly_attendance</c:v>
                </c:pt>
              </c:strCache>
            </c:strRef>
          </c:tx>
          <c:spPr>
            <a:ln w="28575" cap="rnd">
              <a:solidFill>
                <a:schemeClr val="accent2"/>
              </a:solidFill>
              <a:round/>
            </a:ln>
            <a:effectLst/>
          </c:spPr>
          <c:marker>
            <c:symbol val="none"/>
          </c:marker>
          <c:cat>
            <c:strLit>
              <c:ptCount val="8"/>
              <c:pt idx="0">
                <c:v>1</c:v>
              </c:pt>
              <c:pt idx="1">
                <c:v>2</c:v>
              </c:pt>
              <c:pt idx="2">
                <c:v>5</c:v>
              </c:pt>
              <c:pt idx="3">
                <c:v>7</c:v>
              </c:pt>
              <c:pt idx="4">
                <c:v>10</c:v>
              </c:pt>
              <c:pt idx="5">
                <c:v>12</c:v>
              </c:pt>
              <c:pt idx="6">
                <c:v>14</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'LA STL Rams'!$E$308:$E$324</c15:sqref>
                  </c15:fullRef>
                </c:ext>
              </c:extLst>
              <c:f>('LA STL Rams'!$E$308:$E$309,'LA STL Rams'!$E$312,'LA STL Rams'!$E$314,'LA STL Rams'!$E$317,'LA STL Rams'!$E$319,'LA STL Rams'!$E$321,'LA STL Rams'!$E$324)</c:f>
              <c:numCache>
                <c:formatCode>General</c:formatCode>
                <c:ptCount val="8"/>
                <c:pt idx="0">
                  <c:v>60128</c:v>
                </c:pt>
                <c:pt idx="1">
                  <c:v>56612</c:v>
                </c:pt>
                <c:pt idx="2">
                  <c:v>60745</c:v>
                </c:pt>
                <c:pt idx="3">
                  <c:v>73736</c:v>
                </c:pt>
                <c:pt idx="4">
                  <c:v>60032</c:v>
                </c:pt>
                <c:pt idx="5">
                  <c:v>62006</c:v>
                </c:pt>
                <c:pt idx="6">
                  <c:v>67752</c:v>
                </c:pt>
                <c:pt idx="7">
                  <c:v>66125</c:v>
                </c:pt>
              </c:numCache>
            </c:numRef>
          </c:val>
          <c:smooth val="0"/>
          <c:extLst>
            <c:ext xmlns:c16="http://schemas.microsoft.com/office/drawing/2014/chart" uri="{C3380CC4-5D6E-409C-BE32-E72D297353CC}">
              <c16:uniqueId val="{00000001-DD52-44A5-8AAD-9C957CBBB37C}"/>
            </c:ext>
          </c:extLst>
        </c:ser>
        <c:dLbls>
          <c:showLegendKey val="0"/>
          <c:showVal val="0"/>
          <c:showCatName val="0"/>
          <c:showSerName val="0"/>
          <c:showPercent val="0"/>
          <c:showBubbleSize val="0"/>
        </c:dLbls>
        <c:smooth val="0"/>
        <c:axId val="1137432576"/>
        <c:axId val="1137433056"/>
      </c:lineChart>
      <c:catAx>
        <c:axId val="113743257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7433056"/>
        <c:crosses val="autoZero"/>
        <c:auto val="1"/>
        <c:lblAlgn val="ctr"/>
        <c:lblOffset val="100"/>
        <c:noMultiLvlLbl val="0"/>
      </c:catAx>
      <c:valAx>
        <c:axId val="1137433056"/>
        <c:scaling>
          <c:orientation val="minMax"/>
          <c:min val="55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7432576"/>
        <c:crosses val="autoZero"/>
        <c:crossBetween val="between"/>
        <c:majorUnit val="3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2018 - 2019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'LA STL Rams'!$D$325</c:f>
              <c:strCache>
                <c:ptCount val="1"/>
                <c:pt idx="0">
                  <c:v>week</c:v>
                </c:pt>
              </c:strCache>
            </c:strRef>
          </c:tx>
          <c:spPr>
            <a:ln w="28575" cap="rnd">
              <a:solidFill>
                <a:schemeClr val="accent1"/>
              </a:solidFill>
              <a:round/>
            </a:ln>
            <a:effectLst/>
          </c:spPr>
          <c:marker>
            <c:symbol val="none"/>
          </c:marker>
          <c:cat>
            <c:strLit>
              <c:ptCount val="8"/>
              <c:pt idx="0">
                <c:v>2</c:v>
              </c:pt>
              <c:pt idx="1">
                <c:v>3</c:v>
              </c:pt>
              <c:pt idx="2">
                <c:v>4</c:v>
              </c:pt>
              <c:pt idx="3">
                <c:v>8</c:v>
              </c:pt>
              <c:pt idx="4">
                <c:v>10</c:v>
              </c:pt>
              <c:pt idx="5">
                <c:v>11</c:v>
              </c:pt>
              <c:pt idx="6">
                <c:v>15</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'LA STL Rams'!$D$326:$D$342</c15:sqref>
                  </c15:fullRef>
                </c:ext>
              </c:extLst>
              <c:f>('LA STL Rams'!$D$327:$D$329,'LA STL Rams'!$D$333,'LA STL Rams'!$D$335:$D$336,'LA STL Rams'!$D$340,'LA STL Rams'!$D$342)</c:f>
              <c:numCache>
                <c:formatCode>General</c:formatCode>
                <c:ptCount val="8"/>
                <c:pt idx="0">
                  <c:v>2</c:v>
                </c:pt>
                <c:pt idx="1">
                  <c:v>3</c:v>
                </c:pt>
                <c:pt idx="2">
                  <c:v>4</c:v>
                </c:pt>
                <c:pt idx="3">
                  <c:v>8</c:v>
                </c:pt>
                <c:pt idx="4">
                  <c:v>10</c:v>
                </c:pt>
                <c:pt idx="5">
                  <c:v>11</c:v>
                </c:pt>
                <c:pt idx="6">
                  <c:v>15</c:v>
                </c:pt>
                <c:pt idx="7">
                  <c:v>17</c:v>
                </c:pt>
              </c:numCache>
            </c:numRef>
          </c:val>
          <c:smooth val="0"/>
          <c:extLst>
            <c:ext xmlns:c16="http://schemas.microsoft.com/office/drawing/2014/chart" uri="{C3380CC4-5D6E-409C-BE32-E72D297353CC}">
              <c16:uniqueId val="{00000000-52C2-4A1A-A2CB-B0F73378A230}"/>
            </c:ext>
          </c:extLst>
        </c:ser>
        <c:ser>
          <c:idx val="1"/>
          <c:order val="1"/>
          <c:tx>
            <c:strRef>
              <c:f>'LA STL Rams'!$E$325</c:f>
              <c:strCache>
                <c:ptCount val="1"/>
                <c:pt idx="0">
                  <c:v>weekly_attendance</c:v>
                </c:pt>
              </c:strCache>
            </c:strRef>
          </c:tx>
          <c:spPr>
            <a:ln w="28575" cap="rnd">
              <a:solidFill>
                <a:schemeClr val="accent2"/>
              </a:solidFill>
              <a:round/>
            </a:ln>
            <a:effectLst/>
          </c:spPr>
          <c:marker>
            <c:symbol val="none"/>
          </c:marker>
          <c:cat>
            <c:strLit>
              <c:ptCount val="8"/>
              <c:pt idx="0">
                <c:v>2</c:v>
              </c:pt>
              <c:pt idx="1">
                <c:v>3</c:v>
              </c:pt>
              <c:pt idx="2">
                <c:v>4</c:v>
              </c:pt>
              <c:pt idx="3">
                <c:v>8</c:v>
              </c:pt>
              <c:pt idx="4">
                <c:v>10</c:v>
              </c:pt>
              <c:pt idx="5">
                <c:v>11</c:v>
              </c:pt>
              <c:pt idx="6">
                <c:v>15</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'LA STL Rams'!$E$326:$E$342</c15:sqref>
                  </c15:fullRef>
                </c:ext>
              </c:extLst>
              <c:f>('LA STL Rams'!$E$327:$E$329,'LA STL Rams'!$E$333,'LA STL Rams'!$E$335:$E$336,'LA STL Rams'!$E$340,'LA STL Rams'!$E$342)</c:f>
              <c:numCache>
                <c:formatCode>General</c:formatCode>
                <c:ptCount val="8"/>
                <c:pt idx="0">
                  <c:v>66515</c:v>
                </c:pt>
                <c:pt idx="1">
                  <c:v>68947</c:v>
                </c:pt>
                <c:pt idx="2">
                  <c:v>72027</c:v>
                </c:pt>
                <c:pt idx="3">
                  <c:v>75822</c:v>
                </c:pt>
                <c:pt idx="4">
                  <c:v>72755</c:v>
                </c:pt>
                <c:pt idx="5">
                  <c:v>77002</c:v>
                </c:pt>
                <c:pt idx="6">
                  <c:v>74210</c:v>
                </c:pt>
                <c:pt idx="7">
                  <c:v>72161</c:v>
                </c:pt>
              </c:numCache>
            </c:numRef>
          </c:val>
          <c:smooth val="0"/>
          <c:extLst>
            <c:ext xmlns:c16="http://schemas.microsoft.com/office/drawing/2014/chart" uri="{C3380CC4-5D6E-409C-BE32-E72D297353CC}">
              <c16:uniqueId val="{00000001-52C2-4A1A-A2CB-B0F73378A230}"/>
            </c:ext>
          </c:extLst>
        </c:ser>
        <c:dLbls>
          <c:showLegendKey val="0"/>
          <c:showVal val="0"/>
          <c:showCatName val="0"/>
          <c:showSerName val="0"/>
          <c:showPercent val="0"/>
          <c:showBubbleSize val="0"/>
        </c:dLbls>
        <c:smooth val="0"/>
        <c:axId val="646795856"/>
        <c:axId val="646797776"/>
      </c:lineChart>
      <c:catAx>
        <c:axId val="64679585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6797776"/>
        <c:crosses val="autoZero"/>
        <c:auto val="1"/>
        <c:lblAlgn val="ctr"/>
        <c:lblOffset val="100"/>
        <c:noMultiLvlLbl val="0"/>
      </c:catAx>
      <c:valAx>
        <c:axId val="646797776"/>
        <c:scaling>
          <c:orientation val="minMax"/>
          <c:min val="64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6795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2019 - 2020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'LA STL Rams'!$D$343</c:f>
              <c:strCache>
                <c:ptCount val="1"/>
                <c:pt idx="0">
                  <c:v>week</c:v>
                </c:pt>
              </c:strCache>
            </c:strRef>
          </c:tx>
          <c:spPr>
            <a:ln w="28575" cap="rnd">
              <a:solidFill>
                <a:schemeClr val="accent1"/>
              </a:solidFill>
              <a:round/>
            </a:ln>
            <a:effectLst/>
          </c:spPr>
          <c:marker>
            <c:symbol val="none"/>
          </c:marker>
          <c:cat>
            <c:strLit>
              <c:ptCount val="8"/>
              <c:pt idx="0">
                <c:v>2</c:v>
              </c:pt>
              <c:pt idx="1">
                <c:v>4</c:v>
              </c:pt>
              <c:pt idx="2">
                <c:v>6</c:v>
              </c:pt>
              <c:pt idx="3">
                <c:v>8</c:v>
              </c:pt>
              <c:pt idx="4">
                <c:v>11</c:v>
              </c:pt>
              <c:pt idx="5">
                <c:v>12</c:v>
              </c:pt>
              <c:pt idx="6">
                <c:v>14</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'LA STL Rams'!$D$344:$D$360</c15:sqref>
                  </c15:fullRef>
                </c:ext>
              </c:extLst>
              <c:f>('LA STL Rams'!$D$345,'LA STL Rams'!$D$347,'LA STL Rams'!$D$349,'LA STL Rams'!$D$351,'LA STL Rams'!$D$354:$D$355,'LA STL Rams'!$D$357,'LA STL Rams'!$D$360)</c:f>
              <c:numCache>
                <c:formatCode>General</c:formatCode>
                <c:ptCount val="8"/>
                <c:pt idx="0">
                  <c:v>2</c:v>
                </c:pt>
                <c:pt idx="1">
                  <c:v>4</c:v>
                </c:pt>
                <c:pt idx="2">
                  <c:v>6</c:v>
                </c:pt>
                <c:pt idx="3">
                  <c:v>8</c:v>
                </c:pt>
                <c:pt idx="4">
                  <c:v>11</c:v>
                </c:pt>
                <c:pt idx="5">
                  <c:v>12</c:v>
                </c:pt>
                <c:pt idx="6">
                  <c:v>14</c:v>
                </c:pt>
                <c:pt idx="7">
                  <c:v>17</c:v>
                </c:pt>
              </c:numCache>
            </c:numRef>
          </c:val>
          <c:smooth val="0"/>
          <c:extLst>
            <c:ext xmlns:c16="http://schemas.microsoft.com/office/drawing/2014/chart" uri="{C3380CC4-5D6E-409C-BE32-E72D297353CC}">
              <c16:uniqueId val="{00000000-A86B-444E-A29C-C8A44F2A6068}"/>
            </c:ext>
          </c:extLst>
        </c:ser>
        <c:ser>
          <c:idx val="1"/>
          <c:order val="1"/>
          <c:tx>
            <c:strRef>
              <c:f>'LA STL Rams'!$E$343</c:f>
              <c:strCache>
                <c:ptCount val="1"/>
                <c:pt idx="0">
                  <c:v>weekly_attendance</c:v>
                </c:pt>
              </c:strCache>
            </c:strRef>
          </c:tx>
          <c:spPr>
            <a:ln w="28575" cap="rnd">
              <a:solidFill>
                <a:schemeClr val="accent2"/>
              </a:solidFill>
              <a:round/>
            </a:ln>
            <a:effectLst/>
          </c:spPr>
          <c:marker>
            <c:symbol val="none"/>
          </c:marker>
          <c:cat>
            <c:strLit>
              <c:ptCount val="8"/>
              <c:pt idx="0">
                <c:v>2</c:v>
              </c:pt>
              <c:pt idx="1">
                <c:v>4</c:v>
              </c:pt>
              <c:pt idx="2">
                <c:v>6</c:v>
              </c:pt>
              <c:pt idx="3">
                <c:v>8</c:v>
              </c:pt>
              <c:pt idx="4">
                <c:v>11</c:v>
              </c:pt>
              <c:pt idx="5">
                <c:v>12</c:v>
              </c:pt>
              <c:pt idx="6">
                <c:v>14</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'LA STL Rams'!$E$344:$E$360</c15:sqref>
                  </c15:fullRef>
                </c:ext>
              </c:extLst>
              <c:f>('LA STL Rams'!$E$345,'LA STL Rams'!$E$347,'LA STL Rams'!$E$349,'LA STL Rams'!$E$351,'LA STL Rams'!$E$354:$E$355,'LA STL Rams'!$E$357,'LA STL Rams'!$E$360)</c:f>
              <c:numCache>
                <c:formatCode>General</c:formatCode>
                <c:ptCount val="8"/>
                <c:pt idx="0">
                  <c:v>71460</c:v>
                </c:pt>
                <c:pt idx="1">
                  <c:v>68117</c:v>
                </c:pt>
                <c:pt idx="2">
                  <c:v>75695</c:v>
                </c:pt>
                <c:pt idx="3">
                  <c:v>83720</c:v>
                </c:pt>
                <c:pt idx="4">
                  <c:v>70758</c:v>
                </c:pt>
                <c:pt idx="5">
                  <c:v>72409</c:v>
                </c:pt>
                <c:pt idx="6">
                  <c:v>71501</c:v>
                </c:pt>
                <c:pt idx="7">
                  <c:v>68665</c:v>
                </c:pt>
              </c:numCache>
            </c:numRef>
          </c:val>
          <c:smooth val="0"/>
          <c:extLst>
            <c:ext xmlns:c16="http://schemas.microsoft.com/office/drawing/2014/chart" uri="{C3380CC4-5D6E-409C-BE32-E72D297353CC}">
              <c16:uniqueId val="{00000001-A86B-444E-A29C-C8A44F2A6068}"/>
            </c:ext>
          </c:extLst>
        </c:ser>
        <c:dLbls>
          <c:showLegendKey val="0"/>
          <c:showVal val="0"/>
          <c:showCatName val="0"/>
          <c:showSerName val="0"/>
          <c:showPercent val="0"/>
          <c:showBubbleSize val="0"/>
        </c:dLbls>
        <c:smooth val="0"/>
        <c:axId val="863983648"/>
        <c:axId val="863981728"/>
      </c:lineChart>
      <c:catAx>
        <c:axId val="86398364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3981728"/>
        <c:crosses val="autoZero"/>
        <c:auto val="1"/>
        <c:lblAlgn val="ctr"/>
        <c:lblOffset val="100"/>
        <c:noMultiLvlLbl val="0"/>
      </c:catAx>
      <c:valAx>
        <c:axId val="863981728"/>
        <c:scaling>
          <c:orientation val="minMax"/>
          <c:min val="66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3983648"/>
        <c:crosses val="autoZero"/>
        <c:crossBetween val="between"/>
        <c:majorUnit val="3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2000</a:t>
            </a:r>
            <a:r>
              <a:rPr lang="en-US" baseline="0"/>
              <a:t> - 2001</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'SF 49ers'!$D$1</c:f>
              <c:strCache>
                <c:ptCount val="1"/>
                <c:pt idx="0">
                  <c:v>week</c:v>
                </c:pt>
              </c:strCache>
            </c:strRef>
          </c:tx>
          <c:spPr>
            <a:ln w="28575" cap="rnd">
              <a:solidFill>
                <a:schemeClr val="accent1"/>
              </a:solidFill>
              <a:round/>
            </a:ln>
            <a:effectLst/>
          </c:spPr>
          <c:marker>
            <c:symbol val="none"/>
          </c:marker>
          <c:cat>
            <c:strLit>
              <c:ptCount val="7"/>
              <c:pt idx="0">
                <c:v>2</c:v>
              </c:pt>
              <c:pt idx="1">
                <c:v>5</c:v>
              </c:pt>
              <c:pt idx="2">
                <c:v>6</c:v>
              </c:pt>
              <c:pt idx="3">
                <c:v>9</c:v>
              </c:pt>
              <c:pt idx="4">
                <c:v>12</c:v>
              </c:pt>
              <c:pt idx="5">
                <c:v>15</c:v>
              </c:pt>
              <c:pt idx="6">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'SF 49ers'!$D$2:$D$18</c15:sqref>
                  </c15:fullRef>
                </c:ext>
              </c:extLst>
              <c:f>('SF 49ers'!$D$3,'SF 49ers'!$D$6:$D$7,'SF 49ers'!$D$10,'SF 49ers'!$D$13,'SF 49ers'!$D$16:$D$17)</c:f>
              <c:numCache>
                <c:formatCode>General</c:formatCode>
                <c:ptCount val="7"/>
                <c:pt idx="0">
                  <c:v>2</c:v>
                </c:pt>
                <c:pt idx="1">
                  <c:v>5</c:v>
                </c:pt>
                <c:pt idx="2">
                  <c:v>6</c:v>
                </c:pt>
                <c:pt idx="3">
                  <c:v>9</c:v>
                </c:pt>
                <c:pt idx="4">
                  <c:v>12</c:v>
                </c:pt>
                <c:pt idx="5">
                  <c:v>15</c:v>
                </c:pt>
                <c:pt idx="6">
                  <c:v>16</c:v>
                </c:pt>
              </c:numCache>
            </c:numRef>
          </c:val>
          <c:smooth val="0"/>
          <c:extLst>
            <c:ext xmlns:c16="http://schemas.microsoft.com/office/drawing/2014/chart" uri="{C3380CC4-5D6E-409C-BE32-E72D297353CC}">
              <c16:uniqueId val="{00000000-81DE-417F-B31C-A53FBC257D0B}"/>
            </c:ext>
          </c:extLst>
        </c:ser>
        <c:ser>
          <c:idx val="1"/>
          <c:order val="1"/>
          <c:tx>
            <c:strRef>
              <c:f>'SF 49ers'!$E$1</c:f>
              <c:strCache>
                <c:ptCount val="1"/>
                <c:pt idx="0">
                  <c:v>weekly_attendance</c:v>
                </c:pt>
              </c:strCache>
            </c:strRef>
          </c:tx>
          <c:spPr>
            <a:ln w="28575" cap="rnd">
              <a:solidFill>
                <a:schemeClr val="accent2"/>
              </a:solidFill>
              <a:round/>
            </a:ln>
            <a:effectLst/>
          </c:spPr>
          <c:marker>
            <c:symbol val="none"/>
          </c:marker>
          <c:cat>
            <c:strLit>
              <c:ptCount val="7"/>
              <c:pt idx="0">
                <c:v>2</c:v>
              </c:pt>
              <c:pt idx="1">
                <c:v>5</c:v>
              </c:pt>
              <c:pt idx="2">
                <c:v>6</c:v>
              </c:pt>
              <c:pt idx="3">
                <c:v>9</c:v>
              </c:pt>
              <c:pt idx="4">
                <c:v>12</c:v>
              </c:pt>
              <c:pt idx="5">
                <c:v>15</c:v>
              </c:pt>
              <c:pt idx="6">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'SF 49ers'!$E$2:$E$18</c15:sqref>
                  </c15:fullRef>
                </c:ext>
              </c:extLst>
              <c:f>('SF 49ers'!$E$3,'SF 49ers'!$E$6:$E$7,'SF 49ers'!$E$10,'SF 49ers'!$E$13,'SF 49ers'!$E$16:$E$17)</c:f>
              <c:numCache>
                <c:formatCode>General</c:formatCode>
                <c:ptCount val="7"/>
                <c:pt idx="0">
                  <c:v>66879</c:v>
                </c:pt>
                <c:pt idx="1">
                  <c:v>66985</c:v>
                </c:pt>
                <c:pt idx="2">
                  <c:v>68344</c:v>
                </c:pt>
                <c:pt idx="3">
                  <c:v>68109</c:v>
                </c:pt>
                <c:pt idx="4">
                  <c:v>67447</c:v>
                </c:pt>
                <c:pt idx="5">
                  <c:v>67892</c:v>
                </c:pt>
                <c:pt idx="6">
                  <c:v>68306</c:v>
                </c:pt>
              </c:numCache>
            </c:numRef>
          </c:val>
          <c:smooth val="0"/>
          <c:extLst>
            <c:ext xmlns:c16="http://schemas.microsoft.com/office/drawing/2014/chart" uri="{C3380CC4-5D6E-409C-BE32-E72D297353CC}">
              <c16:uniqueId val="{00000001-81DE-417F-B31C-A53FBC257D0B}"/>
            </c:ext>
          </c:extLst>
        </c:ser>
        <c:dLbls>
          <c:showLegendKey val="0"/>
          <c:showVal val="0"/>
          <c:showCatName val="0"/>
          <c:showSerName val="0"/>
          <c:showPercent val="0"/>
          <c:showBubbleSize val="0"/>
        </c:dLbls>
        <c:smooth val="0"/>
        <c:axId val="1959044575"/>
        <c:axId val="1959046015"/>
      </c:lineChart>
      <c:catAx>
        <c:axId val="1959044575"/>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9046015"/>
        <c:crosses val="autoZero"/>
        <c:auto val="1"/>
        <c:lblAlgn val="ctr"/>
        <c:lblOffset val="100"/>
        <c:noMultiLvlLbl val="0"/>
      </c:catAx>
      <c:valAx>
        <c:axId val="1959046015"/>
        <c:scaling>
          <c:orientation val="minMax"/>
          <c:min val="66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904457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2001</a:t>
            </a:r>
            <a:r>
              <a:rPr lang="en-US" baseline="0"/>
              <a:t> - 2002</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'SF 49ers'!$D$19</c:f>
              <c:strCache>
                <c:ptCount val="1"/>
                <c:pt idx="0">
                  <c:v>week</c:v>
                </c:pt>
              </c:strCache>
            </c:strRef>
          </c:tx>
          <c:spPr>
            <a:ln w="28575" cap="rnd">
              <a:solidFill>
                <a:schemeClr val="accent1"/>
              </a:solidFill>
              <a:round/>
            </a:ln>
            <a:effectLst/>
          </c:spPr>
          <c:marker>
            <c:symbol val="none"/>
          </c:marker>
          <c:cat>
            <c:strLit>
              <c:ptCount val="8"/>
              <c:pt idx="0">
                <c:v>1</c:v>
              </c:pt>
              <c:pt idx="1">
                <c:v>2</c:v>
              </c:pt>
              <c:pt idx="2">
                <c:v>4</c:v>
              </c:pt>
              <c:pt idx="3">
                <c:v>8</c:v>
              </c:pt>
              <c:pt idx="4">
                <c:v>9</c:v>
              </c:pt>
              <c:pt idx="5">
                <c:v>12</c:v>
              </c:pt>
              <c:pt idx="6">
                <c:v>14</c:v>
              </c:pt>
              <c:pt idx="7">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'SF 49ers'!$D$20:$D$36</c15:sqref>
                  </c15:fullRef>
                </c:ext>
              </c:extLst>
              <c:f>('SF 49ers'!$D$20:$D$21,'SF 49ers'!$D$23,'SF 49ers'!$D$27:$D$28,'SF 49ers'!$D$31,'SF 49ers'!$D$33:$D$34)</c:f>
              <c:numCache>
                <c:formatCode>General</c:formatCode>
                <c:ptCount val="8"/>
                <c:pt idx="0">
                  <c:v>1</c:v>
                </c:pt>
                <c:pt idx="1">
                  <c:v>2</c:v>
                </c:pt>
                <c:pt idx="2">
                  <c:v>4</c:v>
                </c:pt>
                <c:pt idx="3">
                  <c:v>8</c:v>
                </c:pt>
                <c:pt idx="4">
                  <c:v>9</c:v>
                </c:pt>
                <c:pt idx="5">
                  <c:v>12</c:v>
                </c:pt>
                <c:pt idx="6">
                  <c:v>14</c:v>
                </c:pt>
                <c:pt idx="7">
                  <c:v>15</c:v>
                </c:pt>
              </c:numCache>
            </c:numRef>
          </c:val>
          <c:smooth val="0"/>
          <c:extLst>
            <c:ext xmlns:c16="http://schemas.microsoft.com/office/drawing/2014/chart" uri="{C3380CC4-5D6E-409C-BE32-E72D297353CC}">
              <c16:uniqueId val="{00000000-76A1-4E3B-8F5B-BEB4327F8F79}"/>
            </c:ext>
          </c:extLst>
        </c:ser>
        <c:ser>
          <c:idx val="1"/>
          <c:order val="1"/>
          <c:tx>
            <c:strRef>
              <c:f>'SF 49ers'!$E$19</c:f>
              <c:strCache>
                <c:ptCount val="1"/>
                <c:pt idx="0">
                  <c:v>weekly_attendance</c:v>
                </c:pt>
              </c:strCache>
            </c:strRef>
          </c:tx>
          <c:spPr>
            <a:ln w="28575" cap="rnd">
              <a:solidFill>
                <a:schemeClr val="accent2"/>
              </a:solidFill>
              <a:round/>
            </a:ln>
            <a:effectLst/>
          </c:spPr>
          <c:marker>
            <c:symbol val="none"/>
          </c:marker>
          <c:cat>
            <c:strLit>
              <c:ptCount val="8"/>
              <c:pt idx="0">
                <c:v>1</c:v>
              </c:pt>
              <c:pt idx="1">
                <c:v>2</c:v>
              </c:pt>
              <c:pt idx="2">
                <c:v>4</c:v>
              </c:pt>
              <c:pt idx="3">
                <c:v>8</c:v>
              </c:pt>
              <c:pt idx="4">
                <c:v>9</c:v>
              </c:pt>
              <c:pt idx="5">
                <c:v>12</c:v>
              </c:pt>
              <c:pt idx="6">
                <c:v>14</c:v>
              </c:pt>
              <c:pt idx="7">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'SF 49ers'!$E$20:$E$36</c15:sqref>
                  </c15:fullRef>
                </c:ext>
              </c:extLst>
              <c:f>('SF 49ers'!$E$20:$E$21,'SF 49ers'!$E$23,'SF 49ers'!$E$27:$E$28,'SF 49ers'!$E$31,'SF 49ers'!$E$33:$E$34)</c:f>
              <c:numCache>
                <c:formatCode>General</c:formatCode>
                <c:ptCount val="8"/>
                <c:pt idx="0">
                  <c:v>65989</c:v>
                </c:pt>
                <c:pt idx="1">
                  <c:v>67536</c:v>
                </c:pt>
                <c:pt idx="2">
                  <c:v>66944</c:v>
                </c:pt>
                <c:pt idx="3">
                  <c:v>67605</c:v>
                </c:pt>
                <c:pt idx="4">
                  <c:v>68083</c:v>
                </c:pt>
                <c:pt idx="5">
                  <c:v>67252</c:v>
                </c:pt>
                <c:pt idx="6">
                  <c:v>68223</c:v>
                </c:pt>
                <c:pt idx="7">
                  <c:v>68124</c:v>
                </c:pt>
              </c:numCache>
            </c:numRef>
          </c:val>
          <c:smooth val="0"/>
          <c:extLst>
            <c:ext xmlns:c16="http://schemas.microsoft.com/office/drawing/2014/chart" uri="{C3380CC4-5D6E-409C-BE32-E72D297353CC}">
              <c16:uniqueId val="{00000001-76A1-4E3B-8F5B-BEB4327F8F79}"/>
            </c:ext>
          </c:extLst>
        </c:ser>
        <c:dLbls>
          <c:showLegendKey val="0"/>
          <c:showVal val="0"/>
          <c:showCatName val="0"/>
          <c:showSerName val="0"/>
          <c:showPercent val="0"/>
          <c:showBubbleSize val="0"/>
        </c:dLbls>
        <c:smooth val="0"/>
        <c:axId val="1944458383"/>
        <c:axId val="1944458863"/>
      </c:lineChart>
      <c:catAx>
        <c:axId val="1944458383"/>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4458863"/>
        <c:crosses val="autoZero"/>
        <c:auto val="1"/>
        <c:lblAlgn val="ctr"/>
        <c:lblOffset val="100"/>
        <c:noMultiLvlLbl val="0"/>
      </c:catAx>
      <c:valAx>
        <c:axId val="1944458863"/>
        <c:scaling>
          <c:orientation val="minMax"/>
          <c:min val="64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4458383"/>
        <c:crosses val="autoZero"/>
        <c:crossBetween val="between"/>
        <c:maj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2002</a:t>
            </a:r>
            <a:r>
              <a:rPr lang="en-US" baseline="0"/>
              <a:t> - 2003</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'SF 49ers'!$D$37</c:f>
              <c:strCache>
                <c:ptCount val="1"/>
                <c:pt idx="0">
                  <c:v>week</c:v>
                </c:pt>
              </c:strCache>
            </c:strRef>
          </c:tx>
          <c:spPr>
            <a:ln w="28575" cap="rnd">
              <a:solidFill>
                <a:schemeClr val="accent1"/>
              </a:solidFill>
              <a:round/>
            </a:ln>
            <a:effectLst/>
          </c:spPr>
          <c:marker>
            <c:symbol val="none"/>
          </c:marker>
          <c:cat>
            <c:strLit>
              <c:ptCount val="8"/>
              <c:pt idx="0">
                <c:v>2</c:v>
              </c:pt>
              <c:pt idx="1">
                <c:v>3</c:v>
              </c:pt>
              <c:pt idx="2">
                <c:v>5</c:v>
              </c:pt>
              <c:pt idx="3">
                <c:v>8</c:v>
              </c:pt>
              <c:pt idx="4">
                <c:v>10</c:v>
              </c:pt>
              <c:pt idx="5">
                <c:v>12</c:v>
              </c:pt>
              <c:pt idx="6">
                <c:v>13</c:v>
              </c:pt>
              <c:pt idx="7">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'SF 49ers'!$D$38:$D$54</c15:sqref>
                  </c15:fullRef>
                </c:ext>
              </c:extLst>
              <c:f>('SF 49ers'!$D$39:$D$40,'SF 49ers'!$D$42,'SF 49ers'!$D$45,'SF 49ers'!$D$47,'SF 49ers'!$D$49:$D$50,'SF 49ers'!$D$52)</c:f>
              <c:numCache>
                <c:formatCode>General</c:formatCode>
                <c:ptCount val="8"/>
                <c:pt idx="0">
                  <c:v>2</c:v>
                </c:pt>
                <c:pt idx="1">
                  <c:v>3</c:v>
                </c:pt>
                <c:pt idx="2">
                  <c:v>5</c:v>
                </c:pt>
                <c:pt idx="3">
                  <c:v>8</c:v>
                </c:pt>
                <c:pt idx="4">
                  <c:v>10</c:v>
                </c:pt>
                <c:pt idx="5">
                  <c:v>12</c:v>
                </c:pt>
                <c:pt idx="6">
                  <c:v>13</c:v>
                </c:pt>
                <c:pt idx="7">
                  <c:v>15</c:v>
                </c:pt>
              </c:numCache>
            </c:numRef>
          </c:val>
          <c:smooth val="0"/>
          <c:extLst>
            <c:ext xmlns:c16="http://schemas.microsoft.com/office/drawing/2014/chart" uri="{C3380CC4-5D6E-409C-BE32-E72D297353CC}">
              <c16:uniqueId val="{00000000-66CC-4980-A283-A9B6227140A0}"/>
            </c:ext>
          </c:extLst>
        </c:ser>
        <c:ser>
          <c:idx val="1"/>
          <c:order val="1"/>
          <c:tx>
            <c:strRef>
              <c:f>'SF 49ers'!$E$37</c:f>
              <c:strCache>
                <c:ptCount val="1"/>
                <c:pt idx="0">
                  <c:v>weekly_attendance</c:v>
                </c:pt>
              </c:strCache>
            </c:strRef>
          </c:tx>
          <c:spPr>
            <a:ln w="28575" cap="rnd">
              <a:solidFill>
                <a:schemeClr val="accent2"/>
              </a:solidFill>
              <a:round/>
            </a:ln>
            <a:effectLst/>
          </c:spPr>
          <c:marker>
            <c:symbol val="none"/>
          </c:marker>
          <c:cat>
            <c:strLit>
              <c:ptCount val="8"/>
              <c:pt idx="0">
                <c:v>2</c:v>
              </c:pt>
              <c:pt idx="1">
                <c:v>3</c:v>
              </c:pt>
              <c:pt idx="2">
                <c:v>5</c:v>
              </c:pt>
              <c:pt idx="3">
                <c:v>8</c:v>
              </c:pt>
              <c:pt idx="4">
                <c:v>10</c:v>
              </c:pt>
              <c:pt idx="5">
                <c:v>12</c:v>
              </c:pt>
              <c:pt idx="6">
                <c:v>13</c:v>
              </c:pt>
              <c:pt idx="7">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'SF 49ers'!$E$38:$E$54</c15:sqref>
                  </c15:fullRef>
                </c:ext>
              </c:extLst>
              <c:f>('SF 49ers'!$E$39:$E$40,'SF 49ers'!$E$42,'SF 49ers'!$E$45,'SF 49ers'!$E$47,'SF 49ers'!$E$49:$E$50,'SF 49ers'!$E$52)</c:f>
              <c:numCache>
                <c:formatCode>General</c:formatCode>
                <c:ptCount val="8"/>
                <c:pt idx="0">
                  <c:v>67685</c:v>
                </c:pt>
                <c:pt idx="1">
                  <c:v>67541</c:v>
                </c:pt>
                <c:pt idx="2">
                  <c:v>67853</c:v>
                </c:pt>
                <c:pt idx="3">
                  <c:v>67173</c:v>
                </c:pt>
                <c:pt idx="4">
                  <c:v>67881</c:v>
                </c:pt>
                <c:pt idx="5">
                  <c:v>67919</c:v>
                </c:pt>
                <c:pt idx="6">
                  <c:v>67594</c:v>
                </c:pt>
                <c:pt idx="7">
                  <c:v>67947</c:v>
                </c:pt>
              </c:numCache>
            </c:numRef>
          </c:val>
          <c:smooth val="0"/>
          <c:extLst>
            <c:ext xmlns:c16="http://schemas.microsoft.com/office/drawing/2014/chart" uri="{C3380CC4-5D6E-409C-BE32-E72D297353CC}">
              <c16:uniqueId val="{00000001-66CC-4980-A283-A9B6227140A0}"/>
            </c:ext>
          </c:extLst>
        </c:ser>
        <c:dLbls>
          <c:showLegendKey val="0"/>
          <c:showVal val="0"/>
          <c:showCatName val="0"/>
          <c:showSerName val="0"/>
          <c:showPercent val="0"/>
          <c:showBubbleSize val="0"/>
        </c:dLbls>
        <c:smooth val="0"/>
        <c:axId val="1947204527"/>
        <c:axId val="1947205007"/>
      </c:lineChart>
      <c:catAx>
        <c:axId val="1947204527"/>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7205007"/>
        <c:crosses val="autoZero"/>
        <c:auto val="1"/>
        <c:lblAlgn val="ctr"/>
        <c:lblOffset val="100"/>
        <c:noMultiLvlLbl val="0"/>
      </c:catAx>
      <c:valAx>
        <c:axId val="1947205007"/>
        <c:scaling>
          <c:orientation val="minMax"/>
          <c:min val="65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7204527"/>
        <c:crosses val="autoZero"/>
        <c:crossBetween val="between"/>
        <c:maj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2003</a:t>
            </a:r>
            <a:r>
              <a:rPr lang="en-US" baseline="0"/>
              <a:t> - 2004</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'SF 49ers'!$D$55</c:f>
              <c:strCache>
                <c:ptCount val="1"/>
                <c:pt idx="0">
                  <c:v>week</c:v>
                </c:pt>
              </c:strCache>
            </c:strRef>
          </c:tx>
          <c:spPr>
            <a:ln w="28575" cap="rnd">
              <a:solidFill>
                <a:schemeClr val="accent1"/>
              </a:solidFill>
              <a:round/>
            </a:ln>
            <a:effectLst/>
          </c:spPr>
          <c:marker>
            <c:symbol val="none"/>
          </c:marker>
          <c:cat>
            <c:strLit>
              <c:ptCount val="8"/>
              <c:pt idx="0">
                <c:v>1</c:v>
              </c:pt>
              <c:pt idx="1">
                <c:v>3</c:v>
              </c:pt>
              <c:pt idx="2">
                <c:v>5</c:v>
              </c:pt>
              <c:pt idx="3">
                <c:v>7</c:v>
              </c:pt>
              <c:pt idx="4">
                <c:v>9</c:v>
              </c:pt>
              <c:pt idx="5">
                <c:v>11</c:v>
              </c:pt>
              <c:pt idx="6">
                <c:v>14</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'SF 49ers'!$D$56:$D$72</c15:sqref>
                  </c15:fullRef>
                </c:ext>
              </c:extLst>
              <c:f>('SF 49ers'!$D$56,'SF 49ers'!$D$58,'SF 49ers'!$D$60,'SF 49ers'!$D$62,'SF 49ers'!$D$64,'SF 49ers'!$D$66,'SF 49ers'!$D$69,'SF 49ers'!$D$72)</c:f>
              <c:numCache>
                <c:formatCode>General</c:formatCode>
                <c:ptCount val="8"/>
                <c:pt idx="0">
                  <c:v>1</c:v>
                </c:pt>
                <c:pt idx="1">
                  <c:v>3</c:v>
                </c:pt>
                <c:pt idx="2">
                  <c:v>5</c:v>
                </c:pt>
                <c:pt idx="3">
                  <c:v>7</c:v>
                </c:pt>
                <c:pt idx="4">
                  <c:v>9</c:v>
                </c:pt>
                <c:pt idx="5">
                  <c:v>11</c:v>
                </c:pt>
                <c:pt idx="6">
                  <c:v>14</c:v>
                </c:pt>
                <c:pt idx="7">
                  <c:v>17</c:v>
                </c:pt>
              </c:numCache>
            </c:numRef>
          </c:val>
          <c:smooth val="0"/>
          <c:extLst>
            <c:ext xmlns:c16="http://schemas.microsoft.com/office/drawing/2014/chart" uri="{C3380CC4-5D6E-409C-BE32-E72D297353CC}">
              <c16:uniqueId val="{00000000-B48D-4C89-913D-5CC63DE6D76F}"/>
            </c:ext>
          </c:extLst>
        </c:ser>
        <c:ser>
          <c:idx val="1"/>
          <c:order val="1"/>
          <c:tx>
            <c:strRef>
              <c:f>'SF 49ers'!$E$55</c:f>
              <c:strCache>
                <c:ptCount val="1"/>
                <c:pt idx="0">
                  <c:v>weekly_attendance</c:v>
                </c:pt>
              </c:strCache>
            </c:strRef>
          </c:tx>
          <c:spPr>
            <a:ln w="28575" cap="rnd">
              <a:solidFill>
                <a:schemeClr val="accent2"/>
              </a:solidFill>
              <a:round/>
            </a:ln>
            <a:effectLst/>
          </c:spPr>
          <c:marker>
            <c:symbol val="none"/>
          </c:marker>
          <c:cat>
            <c:strLit>
              <c:ptCount val="8"/>
              <c:pt idx="0">
                <c:v>1</c:v>
              </c:pt>
              <c:pt idx="1">
                <c:v>3</c:v>
              </c:pt>
              <c:pt idx="2">
                <c:v>5</c:v>
              </c:pt>
              <c:pt idx="3">
                <c:v>7</c:v>
              </c:pt>
              <c:pt idx="4">
                <c:v>9</c:v>
              </c:pt>
              <c:pt idx="5">
                <c:v>11</c:v>
              </c:pt>
              <c:pt idx="6">
                <c:v>14</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'SF 49ers'!$E$56:$E$72</c15:sqref>
                  </c15:fullRef>
                </c:ext>
              </c:extLst>
              <c:f>('SF 49ers'!$E$56,'SF 49ers'!$E$58,'SF 49ers'!$E$60,'SF 49ers'!$E$62,'SF 49ers'!$E$64,'SF 49ers'!$E$66,'SF 49ers'!$E$69,'SF 49ers'!$E$72)</c:f>
              <c:numCache>
                <c:formatCode>General</c:formatCode>
                <c:ptCount val="8"/>
                <c:pt idx="0">
                  <c:v>67554</c:v>
                </c:pt>
                <c:pt idx="1">
                  <c:v>67412</c:v>
                </c:pt>
                <c:pt idx="2">
                  <c:v>67365</c:v>
                </c:pt>
                <c:pt idx="3">
                  <c:v>67809</c:v>
                </c:pt>
                <c:pt idx="4">
                  <c:v>67812</c:v>
                </c:pt>
                <c:pt idx="5">
                  <c:v>67877</c:v>
                </c:pt>
                <c:pt idx="6">
                  <c:v>66975</c:v>
                </c:pt>
                <c:pt idx="7">
                  <c:v>67840</c:v>
                </c:pt>
              </c:numCache>
            </c:numRef>
          </c:val>
          <c:smooth val="0"/>
          <c:extLst>
            <c:ext xmlns:c16="http://schemas.microsoft.com/office/drawing/2014/chart" uri="{C3380CC4-5D6E-409C-BE32-E72D297353CC}">
              <c16:uniqueId val="{00000001-B48D-4C89-913D-5CC63DE6D76F}"/>
            </c:ext>
          </c:extLst>
        </c:ser>
        <c:dLbls>
          <c:showLegendKey val="0"/>
          <c:showVal val="0"/>
          <c:showCatName val="0"/>
          <c:showSerName val="0"/>
          <c:showPercent val="0"/>
          <c:showBubbleSize val="0"/>
        </c:dLbls>
        <c:smooth val="0"/>
        <c:axId val="660089183"/>
        <c:axId val="660088703"/>
      </c:lineChart>
      <c:catAx>
        <c:axId val="660089183"/>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088703"/>
        <c:crosses val="autoZero"/>
        <c:auto val="1"/>
        <c:lblAlgn val="ctr"/>
        <c:lblOffset val="100"/>
        <c:noMultiLvlLbl val="0"/>
      </c:catAx>
      <c:valAx>
        <c:axId val="660088703"/>
        <c:scaling>
          <c:orientation val="minMax"/>
          <c:min val="66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089183"/>
        <c:crosses val="autoZero"/>
        <c:crossBetween val="between"/>
        <c:majorUnit val="5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2004 - 2005</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'SF 49ers'!$D$73</c:f>
              <c:strCache>
                <c:ptCount val="1"/>
                <c:pt idx="0">
                  <c:v>week</c:v>
                </c:pt>
              </c:strCache>
            </c:strRef>
          </c:tx>
          <c:spPr>
            <a:ln w="28575" cap="rnd">
              <a:solidFill>
                <a:schemeClr val="accent1"/>
              </a:solidFill>
              <a:round/>
            </a:ln>
            <a:effectLst/>
          </c:spPr>
          <c:marker>
            <c:symbol val="none"/>
          </c:marker>
          <c:cat>
            <c:strLit>
              <c:ptCount val="8"/>
              <c:pt idx="0">
                <c:v>1</c:v>
              </c:pt>
              <c:pt idx="1">
                <c:v>4</c:v>
              </c:pt>
              <c:pt idx="2">
                <c:v>5</c:v>
              </c:pt>
              <c:pt idx="3">
                <c:v>9</c:v>
              </c:pt>
              <c:pt idx="4">
                <c:v>10</c:v>
              </c:pt>
              <c:pt idx="5">
                <c:v>12</c:v>
              </c:pt>
              <c:pt idx="6">
                <c:v>15</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'SF 49ers'!$D$74:$D$90</c15:sqref>
                  </c15:fullRef>
                </c:ext>
              </c:extLst>
              <c:f>('SF 49ers'!$D$74,'SF 49ers'!$D$77:$D$78,'SF 49ers'!$D$82:$D$83,'SF 49ers'!$D$85,'SF 49ers'!$D$88:$D$89)</c:f>
              <c:numCache>
                <c:formatCode>General</c:formatCode>
                <c:ptCount val="8"/>
                <c:pt idx="0">
                  <c:v>1</c:v>
                </c:pt>
                <c:pt idx="1">
                  <c:v>4</c:v>
                </c:pt>
                <c:pt idx="2">
                  <c:v>5</c:v>
                </c:pt>
                <c:pt idx="3">
                  <c:v>9</c:v>
                </c:pt>
                <c:pt idx="4">
                  <c:v>10</c:v>
                </c:pt>
                <c:pt idx="5">
                  <c:v>12</c:v>
                </c:pt>
                <c:pt idx="6">
                  <c:v>15</c:v>
                </c:pt>
                <c:pt idx="7">
                  <c:v>16</c:v>
                </c:pt>
              </c:numCache>
            </c:numRef>
          </c:val>
          <c:smooth val="0"/>
          <c:extLst>
            <c:ext xmlns:c16="http://schemas.microsoft.com/office/drawing/2014/chart" uri="{C3380CC4-5D6E-409C-BE32-E72D297353CC}">
              <c16:uniqueId val="{00000000-3795-4B89-9656-9FB5C4614DC2}"/>
            </c:ext>
          </c:extLst>
        </c:ser>
        <c:ser>
          <c:idx val="1"/>
          <c:order val="1"/>
          <c:tx>
            <c:strRef>
              <c:f>'SF 49ers'!$E$73</c:f>
              <c:strCache>
                <c:ptCount val="1"/>
                <c:pt idx="0">
                  <c:v>weekly_attendance</c:v>
                </c:pt>
              </c:strCache>
            </c:strRef>
          </c:tx>
          <c:spPr>
            <a:ln w="28575" cap="rnd">
              <a:solidFill>
                <a:schemeClr val="accent2"/>
              </a:solidFill>
              <a:round/>
            </a:ln>
            <a:effectLst/>
          </c:spPr>
          <c:marker>
            <c:symbol val="none"/>
          </c:marker>
          <c:cat>
            <c:strLit>
              <c:ptCount val="8"/>
              <c:pt idx="0">
                <c:v>1</c:v>
              </c:pt>
              <c:pt idx="1">
                <c:v>4</c:v>
              </c:pt>
              <c:pt idx="2">
                <c:v>5</c:v>
              </c:pt>
              <c:pt idx="3">
                <c:v>9</c:v>
              </c:pt>
              <c:pt idx="4">
                <c:v>10</c:v>
              </c:pt>
              <c:pt idx="5">
                <c:v>12</c:v>
              </c:pt>
              <c:pt idx="6">
                <c:v>15</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'SF 49ers'!$E$74:$E$90</c15:sqref>
                  </c15:fullRef>
                </c:ext>
              </c:extLst>
              <c:f>('SF 49ers'!$E$74,'SF 49ers'!$E$77:$E$78,'SF 49ers'!$E$82:$E$83,'SF 49ers'!$E$85,'SF 49ers'!$E$88:$E$89)</c:f>
              <c:numCache>
                <c:formatCode>General</c:formatCode>
                <c:ptCount val="8"/>
                <c:pt idx="0">
                  <c:v>65584</c:v>
                </c:pt>
                <c:pt idx="1">
                  <c:v>66696</c:v>
                </c:pt>
                <c:pt idx="2">
                  <c:v>62836</c:v>
                </c:pt>
                <c:pt idx="3">
                  <c:v>64423</c:v>
                </c:pt>
                <c:pt idx="4">
                  <c:v>63618</c:v>
                </c:pt>
                <c:pt idx="5">
                  <c:v>66156</c:v>
                </c:pt>
                <c:pt idx="6">
                  <c:v>65710</c:v>
                </c:pt>
                <c:pt idx="7">
                  <c:v>63248</c:v>
                </c:pt>
              </c:numCache>
            </c:numRef>
          </c:val>
          <c:smooth val="0"/>
          <c:extLst>
            <c:ext xmlns:c16="http://schemas.microsoft.com/office/drawing/2014/chart" uri="{C3380CC4-5D6E-409C-BE32-E72D297353CC}">
              <c16:uniqueId val="{00000001-3795-4B89-9656-9FB5C4614DC2}"/>
            </c:ext>
          </c:extLst>
        </c:ser>
        <c:dLbls>
          <c:showLegendKey val="0"/>
          <c:showVal val="0"/>
          <c:showCatName val="0"/>
          <c:showSerName val="0"/>
          <c:showPercent val="0"/>
          <c:showBubbleSize val="0"/>
        </c:dLbls>
        <c:smooth val="0"/>
        <c:axId val="2007409183"/>
        <c:axId val="2007412063"/>
      </c:lineChart>
      <c:catAx>
        <c:axId val="2007409183"/>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7412063"/>
        <c:crosses val="autoZero"/>
        <c:auto val="1"/>
        <c:lblAlgn val="ctr"/>
        <c:lblOffset val="100"/>
        <c:noMultiLvlLbl val="0"/>
      </c:catAx>
      <c:valAx>
        <c:axId val="2007412063"/>
        <c:scaling>
          <c:orientation val="minMax"/>
          <c:min val="60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7409183"/>
        <c:crosses val="autoZero"/>
        <c:crossBetween val="between"/>
        <c:majorUnit val="2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2005 - 2006</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'SF 49ers'!$D$91</c:f>
              <c:strCache>
                <c:ptCount val="1"/>
                <c:pt idx="0">
                  <c:v>week</c:v>
                </c:pt>
              </c:strCache>
            </c:strRef>
          </c:tx>
          <c:spPr>
            <a:ln w="28575" cap="rnd">
              <a:solidFill>
                <a:schemeClr val="accent1"/>
              </a:solidFill>
              <a:round/>
            </a:ln>
            <a:effectLst/>
          </c:spPr>
          <c:marker>
            <c:symbol val="none"/>
          </c:marker>
          <c:cat>
            <c:strLit>
              <c:ptCount val="8"/>
              <c:pt idx="0">
                <c:v>1</c:v>
              </c:pt>
              <c:pt idx="1">
                <c:v>3</c:v>
              </c:pt>
              <c:pt idx="2">
                <c:v>5</c:v>
              </c:pt>
              <c:pt idx="3">
                <c:v>8</c:v>
              </c:pt>
              <c:pt idx="4">
                <c:v>9</c:v>
              </c:pt>
              <c:pt idx="5">
                <c:v>11</c:v>
              </c:pt>
              <c:pt idx="6">
                <c:v>13</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'SF 49ers'!$D$92:$D$108</c15:sqref>
                  </c15:fullRef>
                </c:ext>
              </c:extLst>
              <c:f>('SF 49ers'!$D$92,'SF 49ers'!$D$94,'SF 49ers'!$D$96,'SF 49ers'!$D$99:$D$100,'SF 49ers'!$D$102,'SF 49ers'!$D$104,'SF 49ers'!$D$108)</c:f>
              <c:numCache>
                <c:formatCode>General</c:formatCode>
                <c:ptCount val="8"/>
                <c:pt idx="0">
                  <c:v>1</c:v>
                </c:pt>
                <c:pt idx="1">
                  <c:v>3</c:v>
                </c:pt>
                <c:pt idx="2">
                  <c:v>5</c:v>
                </c:pt>
                <c:pt idx="3">
                  <c:v>8</c:v>
                </c:pt>
                <c:pt idx="4">
                  <c:v>9</c:v>
                </c:pt>
                <c:pt idx="5">
                  <c:v>11</c:v>
                </c:pt>
                <c:pt idx="6">
                  <c:v>13</c:v>
                </c:pt>
                <c:pt idx="7">
                  <c:v>17</c:v>
                </c:pt>
              </c:numCache>
            </c:numRef>
          </c:val>
          <c:smooth val="0"/>
          <c:extLst>
            <c:ext xmlns:c16="http://schemas.microsoft.com/office/drawing/2014/chart" uri="{C3380CC4-5D6E-409C-BE32-E72D297353CC}">
              <c16:uniqueId val="{00000000-FC67-4D3E-948A-4509E64F20D2}"/>
            </c:ext>
          </c:extLst>
        </c:ser>
        <c:ser>
          <c:idx val="1"/>
          <c:order val="1"/>
          <c:tx>
            <c:strRef>
              <c:f>'SF 49ers'!$E$91</c:f>
              <c:strCache>
                <c:ptCount val="1"/>
                <c:pt idx="0">
                  <c:v>weekly_attendance</c:v>
                </c:pt>
              </c:strCache>
            </c:strRef>
          </c:tx>
          <c:spPr>
            <a:ln w="28575" cap="rnd">
              <a:solidFill>
                <a:schemeClr val="accent2"/>
              </a:solidFill>
              <a:round/>
            </a:ln>
            <a:effectLst/>
          </c:spPr>
          <c:marker>
            <c:symbol val="none"/>
          </c:marker>
          <c:cat>
            <c:strLit>
              <c:ptCount val="8"/>
              <c:pt idx="0">
                <c:v>1</c:v>
              </c:pt>
              <c:pt idx="1">
                <c:v>3</c:v>
              </c:pt>
              <c:pt idx="2">
                <c:v>5</c:v>
              </c:pt>
              <c:pt idx="3">
                <c:v>8</c:v>
              </c:pt>
              <c:pt idx="4">
                <c:v>9</c:v>
              </c:pt>
              <c:pt idx="5">
                <c:v>11</c:v>
              </c:pt>
              <c:pt idx="6">
                <c:v>13</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'SF 49ers'!$E$92:$E$108</c15:sqref>
                  </c15:fullRef>
                </c:ext>
              </c:extLst>
              <c:f>('SF 49ers'!$E$92,'SF 49ers'!$E$94,'SF 49ers'!$E$96,'SF 49ers'!$E$99:$E$100,'SF 49ers'!$E$102,'SF 49ers'!$E$104,'SF 49ers'!$E$108)</c:f>
              <c:numCache>
                <c:formatCode>General</c:formatCode>
                <c:ptCount val="8"/>
                <c:pt idx="0">
                  <c:v>67918</c:v>
                </c:pt>
                <c:pt idx="1">
                  <c:v>68247</c:v>
                </c:pt>
                <c:pt idx="2">
                  <c:v>68084</c:v>
                </c:pt>
                <c:pt idx="3">
                  <c:v>63358</c:v>
                </c:pt>
                <c:pt idx="4">
                  <c:v>63820</c:v>
                </c:pt>
                <c:pt idx="5">
                  <c:v>63590</c:v>
                </c:pt>
                <c:pt idx="6">
                  <c:v>60439</c:v>
                </c:pt>
                <c:pt idx="7">
                  <c:v>67970</c:v>
                </c:pt>
              </c:numCache>
            </c:numRef>
          </c:val>
          <c:smooth val="0"/>
          <c:extLst>
            <c:ext xmlns:c16="http://schemas.microsoft.com/office/drawing/2014/chart" uri="{C3380CC4-5D6E-409C-BE32-E72D297353CC}">
              <c16:uniqueId val="{00000001-FC67-4D3E-948A-4509E64F20D2}"/>
            </c:ext>
          </c:extLst>
        </c:ser>
        <c:dLbls>
          <c:showLegendKey val="0"/>
          <c:showVal val="0"/>
          <c:showCatName val="0"/>
          <c:showSerName val="0"/>
          <c:showPercent val="0"/>
          <c:showBubbleSize val="0"/>
        </c:dLbls>
        <c:smooth val="0"/>
        <c:axId val="1957479951"/>
        <c:axId val="1957481391"/>
      </c:lineChart>
      <c:catAx>
        <c:axId val="1957479951"/>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7481391"/>
        <c:crosses val="autoZero"/>
        <c:auto val="1"/>
        <c:lblAlgn val="ctr"/>
        <c:lblOffset val="100"/>
        <c:noMultiLvlLbl val="0"/>
      </c:catAx>
      <c:valAx>
        <c:axId val="1957481391"/>
        <c:scaling>
          <c:orientation val="minMax"/>
          <c:min val="59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7479951"/>
        <c:crosses val="autoZero"/>
        <c:crossBetween val="between"/>
        <c:majorUnit val="2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2006 - 2007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'SF 49ers'!$D$109</c:f>
              <c:strCache>
                <c:ptCount val="1"/>
                <c:pt idx="0">
                  <c:v>week</c:v>
                </c:pt>
              </c:strCache>
            </c:strRef>
          </c:tx>
          <c:spPr>
            <a:ln w="28575" cap="rnd">
              <a:solidFill>
                <a:schemeClr val="accent1"/>
              </a:solidFill>
              <a:round/>
            </a:ln>
            <a:effectLst/>
          </c:spPr>
          <c:marker>
            <c:symbol val="none"/>
          </c:marker>
          <c:cat>
            <c:strLit>
              <c:ptCount val="8"/>
              <c:pt idx="0">
                <c:v>2</c:v>
              </c:pt>
              <c:pt idx="1">
                <c:v>3</c:v>
              </c:pt>
              <c:pt idx="2">
                <c:v>5</c:v>
              </c:pt>
              <c:pt idx="3">
                <c:v>6</c:v>
              </c:pt>
              <c:pt idx="4">
                <c:v>9</c:v>
              </c:pt>
              <c:pt idx="5">
                <c:v>11</c:v>
              </c:pt>
              <c:pt idx="6">
                <c:v>14</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'SF 49ers'!$D$110:$D$126</c15:sqref>
                  </c15:fullRef>
                </c:ext>
              </c:extLst>
              <c:f>('SF 49ers'!$D$111:$D$112,'SF 49ers'!$D$114:$D$115,'SF 49ers'!$D$118,'SF 49ers'!$D$120,'SF 49ers'!$D$123,'SF 49ers'!$D$125)</c:f>
              <c:numCache>
                <c:formatCode>General</c:formatCode>
                <c:ptCount val="8"/>
                <c:pt idx="0">
                  <c:v>2</c:v>
                </c:pt>
                <c:pt idx="1">
                  <c:v>3</c:v>
                </c:pt>
                <c:pt idx="2">
                  <c:v>5</c:v>
                </c:pt>
                <c:pt idx="3">
                  <c:v>6</c:v>
                </c:pt>
                <c:pt idx="4">
                  <c:v>9</c:v>
                </c:pt>
                <c:pt idx="5">
                  <c:v>11</c:v>
                </c:pt>
                <c:pt idx="6">
                  <c:v>14</c:v>
                </c:pt>
                <c:pt idx="7">
                  <c:v>16</c:v>
                </c:pt>
              </c:numCache>
            </c:numRef>
          </c:val>
          <c:smooth val="0"/>
          <c:extLst>
            <c:ext xmlns:c16="http://schemas.microsoft.com/office/drawing/2014/chart" uri="{C3380CC4-5D6E-409C-BE32-E72D297353CC}">
              <c16:uniqueId val="{00000000-561C-4074-AB9B-262FEB3D9A9E}"/>
            </c:ext>
          </c:extLst>
        </c:ser>
        <c:ser>
          <c:idx val="1"/>
          <c:order val="1"/>
          <c:tx>
            <c:strRef>
              <c:f>'SF 49ers'!$E$109</c:f>
              <c:strCache>
                <c:ptCount val="1"/>
                <c:pt idx="0">
                  <c:v>weekly_attendance</c:v>
                </c:pt>
              </c:strCache>
            </c:strRef>
          </c:tx>
          <c:spPr>
            <a:ln w="28575" cap="rnd">
              <a:solidFill>
                <a:schemeClr val="accent2"/>
              </a:solidFill>
              <a:round/>
            </a:ln>
            <a:effectLst/>
          </c:spPr>
          <c:marker>
            <c:symbol val="none"/>
          </c:marker>
          <c:cat>
            <c:strLit>
              <c:ptCount val="8"/>
              <c:pt idx="0">
                <c:v>2</c:v>
              </c:pt>
              <c:pt idx="1">
                <c:v>3</c:v>
              </c:pt>
              <c:pt idx="2">
                <c:v>5</c:v>
              </c:pt>
              <c:pt idx="3">
                <c:v>6</c:v>
              </c:pt>
              <c:pt idx="4">
                <c:v>9</c:v>
              </c:pt>
              <c:pt idx="5">
                <c:v>11</c:v>
              </c:pt>
              <c:pt idx="6">
                <c:v>14</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'SF 49ers'!$E$110:$E$126</c15:sqref>
                  </c15:fullRef>
                </c:ext>
              </c:extLst>
              <c:f>('SF 49ers'!$E$111:$E$112,'SF 49ers'!$E$114:$E$115,'SF 49ers'!$E$118,'SF 49ers'!$E$120,'SF 49ers'!$E$123,'SF 49ers'!$E$125)</c:f>
              <c:numCache>
                <c:formatCode>General</c:formatCode>
                <c:ptCount val="8"/>
                <c:pt idx="0">
                  <c:v>67791</c:v>
                </c:pt>
                <c:pt idx="1">
                  <c:v>68166</c:v>
                </c:pt>
                <c:pt idx="2">
                  <c:v>68368</c:v>
                </c:pt>
                <c:pt idx="3">
                  <c:v>68137</c:v>
                </c:pt>
                <c:pt idx="4">
                  <c:v>68088</c:v>
                </c:pt>
                <c:pt idx="5">
                  <c:v>68367</c:v>
                </c:pt>
                <c:pt idx="6">
                  <c:v>68539</c:v>
                </c:pt>
                <c:pt idx="7">
                  <c:v>67751</c:v>
                </c:pt>
              </c:numCache>
            </c:numRef>
          </c:val>
          <c:smooth val="0"/>
          <c:extLst>
            <c:ext xmlns:c16="http://schemas.microsoft.com/office/drawing/2014/chart" uri="{C3380CC4-5D6E-409C-BE32-E72D297353CC}">
              <c16:uniqueId val="{00000001-561C-4074-AB9B-262FEB3D9A9E}"/>
            </c:ext>
          </c:extLst>
        </c:ser>
        <c:dLbls>
          <c:showLegendKey val="0"/>
          <c:showVal val="0"/>
          <c:showCatName val="0"/>
          <c:showSerName val="0"/>
          <c:showPercent val="0"/>
          <c:showBubbleSize val="0"/>
        </c:dLbls>
        <c:smooth val="0"/>
        <c:axId val="78870784"/>
        <c:axId val="78871744"/>
      </c:lineChart>
      <c:catAx>
        <c:axId val="78870784"/>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871744"/>
        <c:crosses val="autoZero"/>
        <c:auto val="1"/>
        <c:lblAlgn val="ctr"/>
        <c:lblOffset val="100"/>
        <c:noMultiLvlLbl val="0"/>
      </c:catAx>
      <c:valAx>
        <c:axId val="78871744"/>
        <c:scaling>
          <c:orientation val="minMax"/>
          <c:min val="67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870784"/>
        <c:crosses val="autoZero"/>
        <c:crossBetween val="between"/>
        <c:majorUnit val="5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2007 - 2008</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'SF 49ers'!$D$127</c:f>
              <c:strCache>
                <c:ptCount val="1"/>
                <c:pt idx="0">
                  <c:v>week</c:v>
                </c:pt>
              </c:strCache>
            </c:strRef>
          </c:tx>
          <c:spPr>
            <a:ln w="28575" cap="rnd">
              <a:solidFill>
                <a:schemeClr val="accent1"/>
              </a:solidFill>
              <a:round/>
            </a:ln>
            <a:effectLst/>
          </c:spPr>
          <c:marker>
            <c:symbol val="none"/>
          </c:marker>
          <c:cat>
            <c:strLit>
              <c:ptCount val="8"/>
              <c:pt idx="0">
                <c:v>1</c:v>
              </c:pt>
              <c:pt idx="1">
                <c:v>4</c:v>
              </c:pt>
              <c:pt idx="2">
                <c:v>5</c:v>
              </c:pt>
              <c:pt idx="3">
                <c:v>8</c:v>
              </c:pt>
              <c:pt idx="4">
                <c:v>11</c:v>
              </c:pt>
              <c:pt idx="5">
                <c:v>14</c:v>
              </c:pt>
              <c:pt idx="6">
                <c:v>15</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'SF 49ers'!$D$128:$D$144</c15:sqref>
                  </c15:fullRef>
                </c:ext>
              </c:extLst>
              <c:f>('SF 49ers'!$D$128,'SF 49ers'!$D$131:$D$132,'SF 49ers'!$D$135,'SF 49ers'!$D$138,'SF 49ers'!$D$141:$D$143)</c:f>
              <c:numCache>
                <c:formatCode>General</c:formatCode>
                <c:ptCount val="8"/>
                <c:pt idx="0">
                  <c:v>1</c:v>
                </c:pt>
                <c:pt idx="1">
                  <c:v>4</c:v>
                </c:pt>
                <c:pt idx="2">
                  <c:v>5</c:v>
                </c:pt>
                <c:pt idx="3">
                  <c:v>8</c:v>
                </c:pt>
                <c:pt idx="4">
                  <c:v>11</c:v>
                </c:pt>
                <c:pt idx="5">
                  <c:v>14</c:v>
                </c:pt>
                <c:pt idx="6">
                  <c:v>15</c:v>
                </c:pt>
                <c:pt idx="7">
                  <c:v>16</c:v>
                </c:pt>
              </c:numCache>
            </c:numRef>
          </c:val>
          <c:smooth val="0"/>
          <c:extLst>
            <c:ext xmlns:c16="http://schemas.microsoft.com/office/drawing/2014/chart" uri="{C3380CC4-5D6E-409C-BE32-E72D297353CC}">
              <c16:uniqueId val="{00000000-3BA5-4C60-A0AA-7F431A212FA5}"/>
            </c:ext>
          </c:extLst>
        </c:ser>
        <c:ser>
          <c:idx val="1"/>
          <c:order val="1"/>
          <c:tx>
            <c:strRef>
              <c:f>'SF 49ers'!$E$127</c:f>
              <c:strCache>
                <c:ptCount val="1"/>
                <c:pt idx="0">
                  <c:v>weekly_attendance</c:v>
                </c:pt>
              </c:strCache>
            </c:strRef>
          </c:tx>
          <c:spPr>
            <a:ln w="28575" cap="rnd">
              <a:solidFill>
                <a:schemeClr val="accent2"/>
              </a:solidFill>
              <a:round/>
            </a:ln>
            <a:effectLst/>
          </c:spPr>
          <c:marker>
            <c:symbol val="none"/>
          </c:marker>
          <c:cat>
            <c:strLit>
              <c:ptCount val="8"/>
              <c:pt idx="0">
                <c:v>1</c:v>
              </c:pt>
              <c:pt idx="1">
                <c:v>4</c:v>
              </c:pt>
              <c:pt idx="2">
                <c:v>5</c:v>
              </c:pt>
              <c:pt idx="3">
                <c:v>8</c:v>
              </c:pt>
              <c:pt idx="4">
                <c:v>11</c:v>
              </c:pt>
              <c:pt idx="5">
                <c:v>14</c:v>
              </c:pt>
              <c:pt idx="6">
                <c:v>15</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'SF 49ers'!$E$128:$E$144</c15:sqref>
                  </c15:fullRef>
                </c:ext>
              </c:extLst>
              <c:f>('SF 49ers'!$E$128,'SF 49ers'!$E$131:$E$132,'SF 49ers'!$E$135,'SF 49ers'!$E$138,'SF 49ers'!$E$141:$E$143)</c:f>
              <c:numCache>
                <c:formatCode>General</c:formatCode>
                <c:ptCount val="8"/>
                <c:pt idx="0">
                  <c:v>68111</c:v>
                </c:pt>
                <c:pt idx="1">
                  <c:v>67651</c:v>
                </c:pt>
                <c:pt idx="2">
                  <c:v>67885</c:v>
                </c:pt>
                <c:pt idx="3">
                  <c:v>68244</c:v>
                </c:pt>
                <c:pt idx="4">
                  <c:v>68039</c:v>
                </c:pt>
                <c:pt idx="5">
                  <c:v>68050</c:v>
                </c:pt>
                <c:pt idx="6">
                  <c:v>68053</c:v>
                </c:pt>
                <c:pt idx="7">
                  <c:v>68193</c:v>
                </c:pt>
              </c:numCache>
            </c:numRef>
          </c:val>
          <c:smooth val="0"/>
          <c:extLst>
            <c:ext xmlns:c16="http://schemas.microsoft.com/office/drawing/2014/chart" uri="{C3380CC4-5D6E-409C-BE32-E72D297353CC}">
              <c16:uniqueId val="{00000001-3BA5-4C60-A0AA-7F431A212FA5}"/>
            </c:ext>
          </c:extLst>
        </c:ser>
        <c:dLbls>
          <c:showLegendKey val="0"/>
          <c:showVal val="0"/>
          <c:showCatName val="0"/>
          <c:showSerName val="0"/>
          <c:showPercent val="0"/>
          <c:showBubbleSize val="0"/>
        </c:dLbls>
        <c:smooth val="0"/>
        <c:axId val="1722098911"/>
        <c:axId val="1722099391"/>
      </c:lineChart>
      <c:catAx>
        <c:axId val="1722098911"/>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2099391"/>
        <c:crosses val="autoZero"/>
        <c:auto val="1"/>
        <c:lblAlgn val="ctr"/>
        <c:lblOffset val="100"/>
        <c:noMultiLvlLbl val="0"/>
      </c:catAx>
      <c:valAx>
        <c:axId val="1722099391"/>
        <c:scaling>
          <c:orientation val="minMax"/>
          <c:max val="70000"/>
          <c:min val="66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2098911"/>
        <c:crosses val="autoZero"/>
        <c:crossBetween val="between"/>
        <c:maj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2008 - 2009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'SF 49ers'!$D$145</c:f>
              <c:strCache>
                <c:ptCount val="1"/>
                <c:pt idx="0">
                  <c:v>week</c:v>
                </c:pt>
              </c:strCache>
            </c:strRef>
          </c:tx>
          <c:spPr>
            <a:ln w="28575" cap="rnd">
              <a:solidFill>
                <a:schemeClr val="accent1"/>
              </a:solidFill>
              <a:round/>
            </a:ln>
            <a:effectLst/>
          </c:spPr>
          <c:marker>
            <c:symbol val="none"/>
          </c:marker>
          <c:cat>
            <c:strLit>
              <c:ptCount val="8"/>
              <c:pt idx="0">
                <c:v>1</c:v>
              </c:pt>
              <c:pt idx="1">
                <c:v>3</c:v>
              </c:pt>
              <c:pt idx="2">
                <c:v>5</c:v>
              </c:pt>
              <c:pt idx="3">
                <c:v>6</c:v>
              </c:pt>
              <c:pt idx="4">
                <c:v>8</c:v>
              </c:pt>
              <c:pt idx="5">
                <c:v>11</c:v>
              </c:pt>
              <c:pt idx="6">
                <c:v>14</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'SF 49ers'!$D$146:$D$162</c15:sqref>
                  </c15:fullRef>
                </c:ext>
              </c:extLst>
              <c:f>('SF 49ers'!$D$146,'SF 49ers'!$D$148,'SF 49ers'!$D$150:$D$151,'SF 49ers'!$D$153,'SF 49ers'!$D$156,'SF 49ers'!$D$159,'SF 49ers'!$D$162)</c:f>
              <c:numCache>
                <c:formatCode>General</c:formatCode>
                <c:ptCount val="8"/>
                <c:pt idx="0">
                  <c:v>1</c:v>
                </c:pt>
                <c:pt idx="1">
                  <c:v>3</c:v>
                </c:pt>
                <c:pt idx="2">
                  <c:v>5</c:v>
                </c:pt>
                <c:pt idx="3">
                  <c:v>6</c:v>
                </c:pt>
                <c:pt idx="4">
                  <c:v>8</c:v>
                </c:pt>
                <c:pt idx="5">
                  <c:v>11</c:v>
                </c:pt>
                <c:pt idx="6">
                  <c:v>14</c:v>
                </c:pt>
                <c:pt idx="7">
                  <c:v>17</c:v>
                </c:pt>
              </c:numCache>
            </c:numRef>
          </c:val>
          <c:smooth val="0"/>
          <c:extLst>
            <c:ext xmlns:c16="http://schemas.microsoft.com/office/drawing/2014/chart" uri="{C3380CC4-5D6E-409C-BE32-E72D297353CC}">
              <c16:uniqueId val="{00000000-F2BC-4BC3-B4C0-28CEA5806FA6}"/>
            </c:ext>
          </c:extLst>
        </c:ser>
        <c:ser>
          <c:idx val="1"/>
          <c:order val="1"/>
          <c:tx>
            <c:strRef>
              <c:f>'SF 49ers'!$E$145</c:f>
              <c:strCache>
                <c:ptCount val="1"/>
                <c:pt idx="0">
                  <c:v>weekly_attendance</c:v>
                </c:pt>
              </c:strCache>
            </c:strRef>
          </c:tx>
          <c:spPr>
            <a:ln w="28575" cap="rnd">
              <a:solidFill>
                <a:schemeClr val="accent2"/>
              </a:solidFill>
              <a:round/>
            </a:ln>
            <a:effectLst/>
          </c:spPr>
          <c:marker>
            <c:symbol val="none"/>
          </c:marker>
          <c:cat>
            <c:strLit>
              <c:ptCount val="8"/>
              <c:pt idx="0">
                <c:v>1</c:v>
              </c:pt>
              <c:pt idx="1">
                <c:v>3</c:v>
              </c:pt>
              <c:pt idx="2">
                <c:v>5</c:v>
              </c:pt>
              <c:pt idx="3">
                <c:v>6</c:v>
              </c:pt>
              <c:pt idx="4">
                <c:v>8</c:v>
              </c:pt>
              <c:pt idx="5">
                <c:v>11</c:v>
              </c:pt>
              <c:pt idx="6">
                <c:v>14</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'SF 49ers'!$E$146:$E$162</c15:sqref>
                  </c15:fullRef>
                </c:ext>
              </c:extLst>
              <c:f>('SF 49ers'!$E$146,'SF 49ers'!$E$148,'SF 49ers'!$E$150:$E$151,'SF 49ers'!$E$153,'SF 49ers'!$E$156,'SF 49ers'!$E$159,'SF 49ers'!$E$162)</c:f>
              <c:numCache>
                <c:formatCode>General</c:formatCode>
                <c:ptCount val="8"/>
                <c:pt idx="0">
                  <c:v>67186</c:v>
                </c:pt>
                <c:pt idx="1">
                  <c:v>67249</c:v>
                </c:pt>
                <c:pt idx="2">
                  <c:v>67650</c:v>
                </c:pt>
                <c:pt idx="3">
                  <c:v>67640</c:v>
                </c:pt>
                <c:pt idx="4">
                  <c:v>67504</c:v>
                </c:pt>
                <c:pt idx="5">
                  <c:v>67573</c:v>
                </c:pt>
                <c:pt idx="6">
                  <c:v>67782</c:v>
                </c:pt>
                <c:pt idx="7">
                  <c:v>67519</c:v>
                </c:pt>
              </c:numCache>
            </c:numRef>
          </c:val>
          <c:smooth val="0"/>
          <c:extLst>
            <c:ext xmlns:c16="http://schemas.microsoft.com/office/drawing/2014/chart" uri="{C3380CC4-5D6E-409C-BE32-E72D297353CC}">
              <c16:uniqueId val="{00000001-F2BC-4BC3-B4C0-28CEA5806FA6}"/>
            </c:ext>
          </c:extLst>
        </c:ser>
        <c:dLbls>
          <c:showLegendKey val="0"/>
          <c:showVal val="0"/>
          <c:showCatName val="0"/>
          <c:showSerName val="0"/>
          <c:showPercent val="0"/>
          <c:showBubbleSize val="0"/>
        </c:dLbls>
        <c:smooth val="0"/>
        <c:axId val="161877824"/>
        <c:axId val="161890304"/>
      </c:lineChart>
      <c:catAx>
        <c:axId val="161877824"/>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890304"/>
        <c:crosses val="autoZero"/>
        <c:auto val="1"/>
        <c:lblAlgn val="ctr"/>
        <c:lblOffset val="100"/>
        <c:noMultiLvlLbl val="0"/>
      </c:catAx>
      <c:valAx>
        <c:axId val="161890304"/>
        <c:scaling>
          <c:orientation val="minMax"/>
          <c:max val="69000"/>
          <c:min val="65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877824"/>
        <c:crosses val="autoZero"/>
        <c:crossBetween val="between"/>
        <c:maj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2009 - 2010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'SF 49ers'!$D$163</c:f>
              <c:strCache>
                <c:ptCount val="1"/>
                <c:pt idx="0">
                  <c:v>week</c:v>
                </c:pt>
              </c:strCache>
            </c:strRef>
          </c:tx>
          <c:spPr>
            <a:ln w="28575" cap="rnd">
              <a:solidFill>
                <a:schemeClr val="accent1"/>
              </a:solidFill>
              <a:round/>
            </a:ln>
            <a:effectLst/>
          </c:spPr>
          <c:marker>
            <c:symbol val="none"/>
          </c:marker>
          <c:cat>
            <c:strLit>
              <c:ptCount val="8"/>
              <c:pt idx="0">
                <c:v>2</c:v>
              </c:pt>
              <c:pt idx="1">
                <c:v>4</c:v>
              </c:pt>
              <c:pt idx="2">
                <c:v>5</c:v>
              </c:pt>
              <c:pt idx="3">
                <c:v>9</c:v>
              </c:pt>
              <c:pt idx="4">
                <c:v>10</c:v>
              </c:pt>
              <c:pt idx="5">
                <c:v>12</c:v>
              </c:pt>
              <c:pt idx="6">
                <c:v>14</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'SF 49ers'!$D$164:$D$180</c15:sqref>
                  </c15:fullRef>
                </c:ext>
              </c:extLst>
              <c:f>('SF 49ers'!$D$165,'SF 49ers'!$D$167:$D$168,'SF 49ers'!$D$172:$D$173,'SF 49ers'!$D$175,'SF 49ers'!$D$177,'SF 49ers'!$D$179)</c:f>
              <c:numCache>
                <c:formatCode>General</c:formatCode>
                <c:ptCount val="8"/>
                <c:pt idx="0">
                  <c:v>2</c:v>
                </c:pt>
                <c:pt idx="1">
                  <c:v>4</c:v>
                </c:pt>
                <c:pt idx="2">
                  <c:v>5</c:v>
                </c:pt>
                <c:pt idx="3">
                  <c:v>9</c:v>
                </c:pt>
                <c:pt idx="4">
                  <c:v>10</c:v>
                </c:pt>
                <c:pt idx="5">
                  <c:v>12</c:v>
                </c:pt>
                <c:pt idx="6">
                  <c:v>14</c:v>
                </c:pt>
                <c:pt idx="7">
                  <c:v>16</c:v>
                </c:pt>
              </c:numCache>
            </c:numRef>
          </c:val>
          <c:smooth val="0"/>
          <c:extLst>
            <c:ext xmlns:c16="http://schemas.microsoft.com/office/drawing/2014/chart" uri="{C3380CC4-5D6E-409C-BE32-E72D297353CC}">
              <c16:uniqueId val="{00000000-71EF-4315-96CE-31271ECF0B0D}"/>
            </c:ext>
          </c:extLst>
        </c:ser>
        <c:ser>
          <c:idx val="1"/>
          <c:order val="1"/>
          <c:tx>
            <c:strRef>
              <c:f>'SF 49ers'!$E$163</c:f>
              <c:strCache>
                <c:ptCount val="1"/>
                <c:pt idx="0">
                  <c:v>weekly_attendance</c:v>
                </c:pt>
              </c:strCache>
            </c:strRef>
          </c:tx>
          <c:spPr>
            <a:ln w="28575" cap="rnd">
              <a:solidFill>
                <a:schemeClr val="accent2"/>
              </a:solidFill>
              <a:round/>
            </a:ln>
            <a:effectLst/>
          </c:spPr>
          <c:marker>
            <c:symbol val="none"/>
          </c:marker>
          <c:cat>
            <c:strLit>
              <c:ptCount val="8"/>
              <c:pt idx="0">
                <c:v>2</c:v>
              </c:pt>
              <c:pt idx="1">
                <c:v>4</c:v>
              </c:pt>
              <c:pt idx="2">
                <c:v>5</c:v>
              </c:pt>
              <c:pt idx="3">
                <c:v>9</c:v>
              </c:pt>
              <c:pt idx="4">
                <c:v>10</c:v>
              </c:pt>
              <c:pt idx="5">
                <c:v>12</c:v>
              </c:pt>
              <c:pt idx="6">
                <c:v>14</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'SF 49ers'!$E$164:$E$180</c15:sqref>
                  </c15:fullRef>
                </c:ext>
              </c:extLst>
              <c:f>('SF 49ers'!$E$165,'SF 49ers'!$E$167:$E$168,'SF 49ers'!$E$172:$E$173,'SF 49ers'!$E$175,'SF 49ers'!$E$177,'SF 49ers'!$E$179)</c:f>
              <c:numCache>
                <c:formatCode>General</c:formatCode>
                <c:ptCount val="8"/>
                <c:pt idx="0">
                  <c:v>69732</c:v>
                </c:pt>
                <c:pt idx="1">
                  <c:v>69732</c:v>
                </c:pt>
                <c:pt idx="2">
                  <c:v>69732</c:v>
                </c:pt>
                <c:pt idx="3">
                  <c:v>69732</c:v>
                </c:pt>
                <c:pt idx="4">
                  <c:v>69732</c:v>
                </c:pt>
                <c:pt idx="5">
                  <c:v>69732</c:v>
                </c:pt>
                <c:pt idx="6">
                  <c:v>69732</c:v>
                </c:pt>
                <c:pt idx="7">
                  <c:v>69732</c:v>
                </c:pt>
              </c:numCache>
            </c:numRef>
          </c:val>
          <c:smooth val="0"/>
          <c:extLst>
            <c:ext xmlns:c16="http://schemas.microsoft.com/office/drawing/2014/chart" uri="{C3380CC4-5D6E-409C-BE32-E72D297353CC}">
              <c16:uniqueId val="{00000001-71EF-4315-96CE-31271ECF0B0D}"/>
            </c:ext>
          </c:extLst>
        </c:ser>
        <c:dLbls>
          <c:showLegendKey val="0"/>
          <c:showVal val="0"/>
          <c:showCatName val="0"/>
          <c:showSerName val="0"/>
          <c:showPercent val="0"/>
          <c:showBubbleSize val="0"/>
        </c:dLbls>
        <c:smooth val="0"/>
        <c:axId val="151971856"/>
        <c:axId val="151977136"/>
      </c:lineChart>
      <c:catAx>
        <c:axId val="15197185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977136"/>
        <c:crosses val="autoZero"/>
        <c:auto val="1"/>
        <c:lblAlgn val="ctr"/>
        <c:lblOffset val="100"/>
        <c:noMultiLvlLbl val="0"/>
      </c:catAx>
      <c:valAx>
        <c:axId val="151977136"/>
        <c:scaling>
          <c:orientation val="minMax"/>
          <c:min val="66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971856"/>
        <c:crosses val="autoZero"/>
        <c:crossBetween val="between"/>
        <c:maj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2010</a:t>
            </a:r>
            <a:r>
              <a:rPr lang="en-US" baseline="0"/>
              <a:t> - 2011</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'SF 49ers'!$D$181</c:f>
              <c:strCache>
                <c:ptCount val="1"/>
                <c:pt idx="0">
                  <c:v>week</c:v>
                </c:pt>
              </c:strCache>
            </c:strRef>
          </c:tx>
          <c:spPr>
            <a:ln w="28575" cap="rnd">
              <a:solidFill>
                <a:schemeClr val="accent1"/>
              </a:solidFill>
              <a:round/>
            </a:ln>
            <a:effectLst/>
          </c:spPr>
          <c:marker>
            <c:symbol val="none"/>
          </c:marker>
          <c:cat>
            <c:strLit>
              <c:ptCount val="8"/>
              <c:pt idx="0">
                <c:v>2</c:v>
              </c:pt>
              <c:pt idx="1">
                <c:v>5</c:v>
              </c:pt>
              <c:pt idx="2">
                <c:v>6</c:v>
              </c:pt>
              <c:pt idx="3">
                <c:v>8</c:v>
              </c:pt>
              <c:pt idx="4">
                <c:v>10</c:v>
              </c:pt>
              <c:pt idx="5">
                <c:v>11</c:v>
              </c:pt>
              <c:pt idx="6">
                <c:v>14</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'SF 49ers'!$D$182:$D$198</c15:sqref>
                  </c15:fullRef>
                </c:ext>
              </c:extLst>
              <c:f>('SF 49ers'!$D$183,'SF 49ers'!$D$186:$D$187,'SF 49ers'!$D$189,'SF 49ers'!$D$191:$D$192,'SF 49ers'!$D$195,'SF 49ers'!$D$198)</c:f>
              <c:numCache>
                <c:formatCode>General</c:formatCode>
                <c:ptCount val="8"/>
                <c:pt idx="0">
                  <c:v>2</c:v>
                </c:pt>
                <c:pt idx="1">
                  <c:v>5</c:v>
                </c:pt>
                <c:pt idx="2">
                  <c:v>6</c:v>
                </c:pt>
                <c:pt idx="3">
                  <c:v>8</c:v>
                </c:pt>
                <c:pt idx="4">
                  <c:v>10</c:v>
                </c:pt>
                <c:pt idx="5">
                  <c:v>11</c:v>
                </c:pt>
                <c:pt idx="6">
                  <c:v>14</c:v>
                </c:pt>
                <c:pt idx="7">
                  <c:v>17</c:v>
                </c:pt>
              </c:numCache>
            </c:numRef>
          </c:val>
          <c:smooth val="0"/>
          <c:extLst>
            <c:ext xmlns:c16="http://schemas.microsoft.com/office/drawing/2014/chart" uri="{C3380CC4-5D6E-409C-BE32-E72D297353CC}">
              <c16:uniqueId val="{00000000-1F77-47BE-B3D0-709152663822}"/>
            </c:ext>
          </c:extLst>
        </c:ser>
        <c:ser>
          <c:idx val="1"/>
          <c:order val="1"/>
          <c:tx>
            <c:strRef>
              <c:f>'SF 49ers'!$E$181</c:f>
              <c:strCache>
                <c:ptCount val="1"/>
                <c:pt idx="0">
                  <c:v>weekly_attendance</c:v>
                </c:pt>
              </c:strCache>
            </c:strRef>
          </c:tx>
          <c:spPr>
            <a:ln w="28575" cap="rnd">
              <a:solidFill>
                <a:schemeClr val="accent2"/>
              </a:solidFill>
              <a:round/>
            </a:ln>
            <a:effectLst/>
          </c:spPr>
          <c:marker>
            <c:symbol val="none"/>
          </c:marker>
          <c:cat>
            <c:strLit>
              <c:ptCount val="8"/>
              <c:pt idx="0">
                <c:v>2</c:v>
              </c:pt>
              <c:pt idx="1">
                <c:v>5</c:v>
              </c:pt>
              <c:pt idx="2">
                <c:v>6</c:v>
              </c:pt>
              <c:pt idx="3">
                <c:v>8</c:v>
              </c:pt>
              <c:pt idx="4">
                <c:v>10</c:v>
              </c:pt>
              <c:pt idx="5">
                <c:v>11</c:v>
              </c:pt>
              <c:pt idx="6">
                <c:v>14</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'SF 49ers'!$E$182:$E$198</c15:sqref>
                  </c15:fullRef>
                </c:ext>
              </c:extLst>
              <c:f>('SF 49ers'!$E$183,'SF 49ers'!$E$186:$E$187,'SF 49ers'!$E$189,'SF 49ers'!$E$191:$E$192,'SF 49ers'!$E$195,'SF 49ers'!$E$198)</c:f>
              <c:numCache>
                <c:formatCode>General</c:formatCode>
                <c:ptCount val="8"/>
                <c:pt idx="0">
                  <c:v>69732</c:v>
                </c:pt>
                <c:pt idx="1">
                  <c:v>69732</c:v>
                </c:pt>
                <c:pt idx="2">
                  <c:v>69732</c:v>
                </c:pt>
                <c:pt idx="3">
                  <c:v>83941</c:v>
                </c:pt>
                <c:pt idx="4">
                  <c:v>69732</c:v>
                </c:pt>
                <c:pt idx="5">
                  <c:v>69732</c:v>
                </c:pt>
                <c:pt idx="6">
                  <c:v>69732</c:v>
                </c:pt>
                <c:pt idx="7">
                  <c:v>69732</c:v>
                </c:pt>
              </c:numCache>
            </c:numRef>
          </c:val>
          <c:smooth val="0"/>
          <c:extLst>
            <c:ext xmlns:c16="http://schemas.microsoft.com/office/drawing/2014/chart" uri="{C3380CC4-5D6E-409C-BE32-E72D297353CC}">
              <c16:uniqueId val="{00000001-1F77-47BE-B3D0-709152663822}"/>
            </c:ext>
          </c:extLst>
        </c:ser>
        <c:dLbls>
          <c:showLegendKey val="0"/>
          <c:showVal val="0"/>
          <c:showCatName val="0"/>
          <c:showSerName val="0"/>
          <c:showPercent val="0"/>
          <c:showBubbleSize val="0"/>
        </c:dLbls>
        <c:smooth val="0"/>
        <c:axId val="371875472"/>
        <c:axId val="371872112"/>
      </c:lineChart>
      <c:catAx>
        <c:axId val="37187547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872112"/>
        <c:crosses val="autoZero"/>
        <c:auto val="1"/>
        <c:lblAlgn val="ctr"/>
        <c:lblOffset val="100"/>
        <c:noMultiLvlLbl val="0"/>
      </c:catAx>
      <c:valAx>
        <c:axId val="371872112"/>
        <c:scaling>
          <c:orientation val="minMax"/>
          <c:min val="68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875472"/>
        <c:crosses val="autoZero"/>
        <c:crossBetween val="between"/>
        <c:majorUnit val="3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2011 - 2012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'SF 49ers'!$D$199</c:f>
              <c:strCache>
                <c:ptCount val="1"/>
                <c:pt idx="0">
                  <c:v>week</c:v>
                </c:pt>
              </c:strCache>
            </c:strRef>
          </c:tx>
          <c:spPr>
            <a:ln w="28575" cap="rnd">
              <a:solidFill>
                <a:schemeClr val="accent1"/>
              </a:solidFill>
              <a:round/>
            </a:ln>
            <a:effectLst/>
          </c:spPr>
          <c:marker>
            <c:symbol val="none"/>
          </c:marker>
          <c:cat>
            <c:strLit>
              <c:ptCount val="8"/>
              <c:pt idx="0">
                <c:v>1</c:v>
              </c:pt>
              <c:pt idx="1">
                <c:v>2</c:v>
              </c:pt>
              <c:pt idx="2">
                <c:v>5</c:v>
              </c:pt>
              <c:pt idx="3">
                <c:v>8</c:v>
              </c:pt>
              <c:pt idx="4">
                <c:v>10</c:v>
              </c:pt>
              <c:pt idx="5">
                <c:v>11</c:v>
              </c:pt>
              <c:pt idx="6">
                <c:v>13</c:v>
              </c:pt>
              <c:pt idx="7">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'SF 49ers'!$D$200:$D$216</c15:sqref>
                  </c15:fullRef>
                </c:ext>
              </c:extLst>
              <c:f>('SF 49ers'!$D$200:$D$201,'SF 49ers'!$D$204,'SF 49ers'!$D$207,'SF 49ers'!$D$209:$D$210,'SF 49ers'!$D$212,'SF 49ers'!$D$214)</c:f>
              <c:numCache>
                <c:formatCode>General</c:formatCode>
                <c:ptCount val="8"/>
                <c:pt idx="0">
                  <c:v>1</c:v>
                </c:pt>
                <c:pt idx="1">
                  <c:v>2</c:v>
                </c:pt>
                <c:pt idx="2">
                  <c:v>5</c:v>
                </c:pt>
                <c:pt idx="3">
                  <c:v>8</c:v>
                </c:pt>
                <c:pt idx="4">
                  <c:v>10</c:v>
                </c:pt>
                <c:pt idx="5">
                  <c:v>11</c:v>
                </c:pt>
                <c:pt idx="6">
                  <c:v>13</c:v>
                </c:pt>
                <c:pt idx="7">
                  <c:v>15</c:v>
                </c:pt>
              </c:numCache>
            </c:numRef>
          </c:val>
          <c:smooth val="0"/>
          <c:extLst>
            <c:ext xmlns:c16="http://schemas.microsoft.com/office/drawing/2014/chart" uri="{C3380CC4-5D6E-409C-BE32-E72D297353CC}">
              <c16:uniqueId val="{00000000-88A5-4317-B413-94CA74B8656D}"/>
            </c:ext>
          </c:extLst>
        </c:ser>
        <c:ser>
          <c:idx val="1"/>
          <c:order val="1"/>
          <c:tx>
            <c:strRef>
              <c:f>'SF 49ers'!$E$199</c:f>
              <c:strCache>
                <c:ptCount val="1"/>
                <c:pt idx="0">
                  <c:v>weekly_attendance</c:v>
                </c:pt>
              </c:strCache>
            </c:strRef>
          </c:tx>
          <c:spPr>
            <a:ln w="28575" cap="rnd">
              <a:solidFill>
                <a:schemeClr val="accent2"/>
              </a:solidFill>
              <a:round/>
            </a:ln>
            <a:effectLst/>
          </c:spPr>
          <c:marker>
            <c:symbol val="none"/>
          </c:marker>
          <c:cat>
            <c:strLit>
              <c:ptCount val="8"/>
              <c:pt idx="0">
                <c:v>1</c:v>
              </c:pt>
              <c:pt idx="1">
                <c:v>2</c:v>
              </c:pt>
              <c:pt idx="2">
                <c:v>5</c:v>
              </c:pt>
              <c:pt idx="3">
                <c:v>8</c:v>
              </c:pt>
              <c:pt idx="4">
                <c:v>10</c:v>
              </c:pt>
              <c:pt idx="5">
                <c:v>11</c:v>
              </c:pt>
              <c:pt idx="6">
                <c:v>13</c:v>
              </c:pt>
              <c:pt idx="7">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'SF 49ers'!$E$200:$E$216</c15:sqref>
                  </c15:fullRef>
                </c:ext>
              </c:extLst>
              <c:f>('SF 49ers'!$E$200:$E$201,'SF 49ers'!$E$204,'SF 49ers'!$E$207,'SF 49ers'!$E$209:$E$210,'SF 49ers'!$E$212,'SF 49ers'!$E$214)</c:f>
              <c:numCache>
                <c:formatCode>General</c:formatCode>
                <c:ptCount val="8"/>
                <c:pt idx="0">
                  <c:v>69732</c:v>
                </c:pt>
                <c:pt idx="1">
                  <c:v>69732</c:v>
                </c:pt>
                <c:pt idx="2">
                  <c:v>69732</c:v>
                </c:pt>
                <c:pt idx="3">
                  <c:v>69732</c:v>
                </c:pt>
                <c:pt idx="4">
                  <c:v>69732</c:v>
                </c:pt>
                <c:pt idx="5">
                  <c:v>69732</c:v>
                </c:pt>
                <c:pt idx="6">
                  <c:v>69732</c:v>
                </c:pt>
                <c:pt idx="7">
                  <c:v>69732</c:v>
                </c:pt>
              </c:numCache>
            </c:numRef>
          </c:val>
          <c:smooth val="0"/>
          <c:extLst>
            <c:ext xmlns:c16="http://schemas.microsoft.com/office/drawing/2014/chart" uri="{C3380CC4-5D6E-409C-BE32-E72D297353CC}">
              <c16:uniqueId val="{00000001-88A5-4317-B413-94CA74B8656D}"/>
            </c:ext>
          </c:extLst>
        </c:ser>
        <c:dLbls>
          <c:showLegendKey val="0"/>
          <c:showVal val="0"/>
          <c:showCatName val="0"/>
          <c:showSerName val="0"/>
          <c:showPercent val="0"/>
          <c:showBubbleSize val="0"/>
        </c:dLbls>
        <c:smooth val="0"/>
        <c:axId val="227009632"/>
        <c:axId val="227008672"/>
      </c:lineChart>
      <c:catAx>
        <c:axId val="22700963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7008672"/>
        <c:crosses val="autoZero"/>
        <c:auto val="1"/>
        <c:lblAlgn val="ctr"/>
        <c:lblOffset val="100"/>
        <c:noMultiLvlLbl val="0"/>
      </c:catAx>
      <c:valAx>
        <c:axId val="227008672"/>
        <c:scaling>
          <c:orientation val="minMax"/>
          <c:min val="68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7009632"/>
        <c:crosses val="autoZero"/>
        <c:crossBetween val="between"/>
        <c:majorUnit val="5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2012</a:t>
            </a:r>
            <a:r>
              <a:rPr lang="en-US" baseline="0"/>
              <a:t> - 2013</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'SF 49ers'!$D$217</c:f>
              <c:strCache>
                <c:ptCount val="1"/>
                <c:pt idx="0">
                  <c:v>week</c:v>
                </c:pt>
              </c:strCache>
            </c:strRef>
          </c:tx>
          <c:spPr>
            <a:ln w="28575" cap="rnd">
              <a:solidFill>
                <a:schemeClr val="accent1"/>
              </a:solidFill>
              <a:round/>
            </a:ln>
            <a:effectLst/>
          </c:spPr>
          <c:marker>
            <c:symbol val="none"/>
          </c:marker>
          <c:cat>
            <c:strLit>
              <c:ptCount val="8"/>
              <c:pt idx="0">
                <c:v>2</c:v>
              </c:pt>
              <c:pt idx="1">
                <c:v>5</c:v>
              </c:pt>
              <c:pt idx="2">
                <c:v>6</c:v>
              </c:pt>
              <c:pt idx="3">
                <c:v>7</c:v>
              </c:pt>
              <c:pt idx="4">
                <c:v>10</c:v>
              </c:pt>
              <c:pt idx="5">
                <c:v>11</c:v>
              </c:pt>
              <c:pt idx="6">
                <c:v>14</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'SF 49ers'!$D$218:$D$234</c15:sqref>
                  </c15:fullRef>
                </c:ext>
              </c:extLst>
              <c:f>('SF 49ers'!$D$219,'SF 49ers'!$D$222:$D$224,'SF 49ers'!$D$227:$D$228,'SF 49ers'!$D$231,'SF 49ers'!$D$234)</c:f>
              <c:numCache>
                <c:formatCode>General</c:formatCode>
                <c:ptCount val="8"/>
                <c:pt idx="0">
                  <c:v>2</c:v>
                </c:pt>
                <c:pt idx="1">
                  <c:v>5</c:v>
                </c:pt>
                <c:pt idx="2">
                  <c:v>6</c:v>
                </c:pt>
                <c:pt idx="3">
                  <c:v>7</c:v>
                </c:pt>
                <c:pt idx="4">
                  <c:v>10</c:v>
                </c:pt>
                <c:pt idx="5">
                  <c:v>11</c:v>
                </c:pt>
                <c:pt idx="6">
                  <c:v>14</c:v>
                </c:pt>
                <c:pt idx="7">
                  <c:v>17</c:v>
                </c:pt>
              </c:numCache>
            </c:numRef>
          </c:val>
          <c:smooth val="0"/>
          <c:extLst>
            <c:ext xmlns:c16="http://schemas.microsoft.com/office/drawing/2014/chart" uri="{C3380CC4-5D6E-409C-BE32-E72D297353CC}">
              <c16:uniqueId val="{00000000-8E55-4893-BDF9-BB7B382B1B2D}"/>
            </c:ext>
          </c:extLst>
        </c:ser>
        <c:ser>
          <c:idx val="1"/>
          <c:order val="1"/>
          <c:tx>
            <c:strRef>
              <c:f>'SF 49ers'!$E$217</c:f>
              <c:strCache>
                <c:ptCount val="1"/>
                <c:pt idx="0">
                  <c:v>weekly_attendance</c:v>
                </c:pt>
              </c:strCache>
            </c:strRef>
          </c:tx>
          <c:spPr>
            <a:ln w="28575" cap="rnd">
              <a:solidFill>
                <a:schemeClr val="accent2"/>
              </a:solidFill>
              <a:round/>
            </a:ln>
            <a:effectLst/>
          </c:spPr>
          <c:marker>
            <c:symbol val="none"/>
          </c:marker>
          <c:cat>
            <c:strLit>
              <c:ptCount val="8"/>
              <c:pt idx="0">
                <c:v>2</c:v>
              </c:pt>
              <c:pt idx="1">
                <c:v>5</c:v>
              </c:pt>
              <c:pt idx="2">
                <c:v>6</c:v>
              </c:pt>
              <c:pt idx="3">
                <c:v>7</c:v>
              </c:pt>
              <c:pt idx="4">
                <c:v>10</c:v>
              </c:pt>
              <c:pt idx="5">
                <c:v>11</c:v>
              </c:pt>
              <c:pt idx="6">
                <c:v>14</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'SF 49ers'!$E$218:$E$234</c15:sqref>
                  </c15:fullRef>
                </c:ext>
              </c:extLst>
              <c:f>('SF 49ers'!$E$219,'SF 49ers'!$E$222:$E$224,'SF 49ers'!$E$227:$E$228,'SF 49ers'!$E$231,'SF 49ers'!$E$234)</c:f>
              <c:numCache>
                <c:formatCode>General</c:formatCode>
                <c:ptCount val="8"/>
                <c:pt idx="0">
                  <c:v>69732</c:v>
                </c:pt>
                <c:pt idx="1">
                  <c:v>69732</c:v>
                </c:pt>
                <c:pt idx="2">
                  <c:v>69732</c:v>
                </c:pt>
                <c:pt idx="3">
                  <c:v>69732</c:v>
                </c:pt>
                <c:pt idx="4">
                  <c:v>69732</c:v>
                </c:pt>
                <c:pt idx="5">
                  <c:v>69732</c:v>
                </c:pt>
                <c:pt idx="6">
                  <c:v>69732</c:v>
                </c:pt>
                <c:pt idx="7">
                  <c:v>69732</c:v>
                </c:pt>
              </c:numCache>
            </c:numRef>
          </c:val>
          <c:smooth val="0"/>
          <c:extLst>
            <c:ext xmlns:c16="http://schemas.microsoft.com/office/drawing/2014/chart" uri="{C3380CC4-5D6E-409C-BE32-E72D297353CC}">
              <c16:uniqueId val="{00000001-8E55-4893-BDF9-BB7B382B1B2D}"/>
            </c:ext>
          </c:extLst>
        </c:ser>
        <c:dLbls>
          <c:showLegendKey val="0"/>
          <c:showVal val="0"/>
          <c:showCatName val="0"/>
          <c:showSerName val="0"/>
          <c:showPercent val="0"/>
          <c:showBubbleSize val="0"/>
        </c:dLbls>
        <c:smooth val="0"/>
        <c:axId val="1945862431"/>
        <c:axId val="227386448"/>
      </c:lineChart>
      <c:catAx>
        <c:axId val="1945862431"/>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7386448"/>
        <c:crosses val="autoZero"/>
        <c:auto val="1"/>
        <c:lblAlgn val="ctr"/>
        <c:lblOffset val="100"/>
        <c:noMultiLvlLbl val="0"/>
      </c:catAx>
      <c:valAx>
        <c:axId val="227386448"/>
        <c:scaling>
          <c:orientation val="minMax"/>
          <c:min val="68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5862431"/>
        <c:crosses val="autoZero"/>
        <c:crossBetween val="between"/>
        <c:majorUnit val="5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2013 - 2014</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'SF 49ers'!$D$235</c:f>
              <c:strCache>
                <c:ptCount val="1"/>
                <c:pt idx="0">
                  <c:v>week</c:v>
                </c:pt>
              </c:strCache>
            </c:strRef>
          </c:tx>
          <c:spPr>
            <a:ln w="28575" cap="rnd">
              <a:solidFill>
                <a:schemeClr val="accent1"/>
              </a:solidFill>
              <a:round/>
            </a:ln>
            <a:effectLst/>
          </c:spPr>
          <c:marker>
            <c:symbol val="none"/>
          </c:marker>
          <c:cat>
            <c:strLit>
              <c:ptCount val="8"/>
              <c:pt idx="0">
                <c:v>1</c:v>
              </c:pt>
              <c:pt idx="1">
                <c:v>3</c:v>
              </c:pt>
              <c:pt idx="2">
                <c:v>5</c:v>
              </c:pt>
              <c:pt idx="3">
                <c:v>6</c:v>
              </c:pt>
              <c:pt idx="4">
                <c:v>10</c:v>
              </c:pt>
              <c:pt idx="5">
                <c:v>13</c:v>
              </c:pt>
              <c:pt idx="6">
                <c:v>14</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'SF 49ers'!$D$236:$D$252</c15:sqref>
                  </c15:fullRef>
                </c:ext>
              </c:extLst>
              <c:f>('SF 49ers'!$D$236,'SF 49ers'!$D$238,'SF 49ers'!$D$240:$D$241,'SF 49ers'!$D$245,'SF 49ers'!$D$248:$D$249,'SF 49ers'!$D$251)</c:f>
              <c:numCache>
                <c:formatCode>General</c:formatCode>
                <c:ptCount val="8"/>
                <c:pt idx="0">
                  <c:v>1</c:v>
                </c:pt>
                <c:pt idx="1">
                  <c:v>3</c:v>
                </c:pt>
                <c:pt idx="2">
                  <c:v>5</c:v>
                </c:pt>
                <c:pt idx="3">
                  <c:v>6</c:v>
                </c:pt>
                <c:pt idx="4">
                  <c:v>10</c:v>
                </c:pt>
                <c:pt idx="5">
                  <c:v>13</c:v>
                </c:pt>
                <c:pt idx="6">
                  <c:v>14</c:v>
                </c:pt>
                <c:pt idx="7">
                  <c:v>16</c:v>
                </c:pt>
              </c:numCache>
            </c:numRef>
          </c:val>
          <c:smooth val="0"/>
          <c:extLst>
            <c:ext xmlns:c16="http://schemas.microsoft.com/office/drawing/2014/chart" uri="{C3380CC4-5D6E-409C-BE32-E72D297353CC}">
              <c16:uniqueId val="{00000000-5D75-4E2C-86F1-EA2A39E6572D}"/>
            </c:ext>
          </c:extLst>
        </c:ser>
        <c:ser>
          <c:idx val="1"/>
          <c:order val="1"/>
          <c:tx>
            <c:strRef>
              <c:f>'SF 49ers'!$E$235</c:f>
              <c:strCache>
                <c:ptCount val="1"/>
                <c:pt idx="0">
                  <c:v>weekly_attendance</c:v>
                </c:pt>
              </c:strCache>
            </c:strRef>
          </c:tx>
          <c:spPr>
            <a:ln w="28575" cap="rnd">
              <a:solidFill>
                <a:schemeClr val="accent2"/>
              </a:solidFill>
              <a:round/>
            </a:ln>
            <a:effectLst/>
          </c:spPr>
          <c:marker>
            <c:symbol val="none"/>
          </c:marker>
          <c:cat>
            <c:strLit>
              <c:ptCount val="8"/>
              <c:pt idx="0">
                <c:v>1</c:v>
              </c:pt>
              <c:pt idx="1">
                <c:v>3</c:v>
              </c:pt>
              <c:pt idx="2">
                <c:v>5</c:v>
              </c:pt>
              <c:pt idx="3">
                <c:v>6</c:v>
              </c:pt>
              <c:pt idx="4">
                <c:v>10</c:v>
              </c:pt>
              <c:pt idx="5">
                <c:v>13</c:v>
              </c:pt>
              <c:pt idx="6">
                <c:v>14</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'SF 49ers'!$E$236:$E$252</c15:sqref>
                  </c15:fullRef>
                </c:ext>
              </c:extLst>
              <c:f>('SF 49ers'!$E$236,'SF 49ers'!$E$238,'SF 49ers'!$E$240:$E$241,'SF 49ers'!$E$245,'SF 49ers'!$E$248:$E$249,'SF 49ers'!$E$251)</c:f>
              <c:numCache>
                <c:formatCode>General</c:formatCode>
                <c:ptCount val="8"/>
                <c:pt idx="0">
                  <c:v>69732</c:v>
                </c:pt>
                <c:pt idx="1">
                  <c:v>69732</c:v>
                </c:pt>
                <c:pt idx="2">
                  <c:v>69732</c:v>
                </c:pt>
                <c:pt idx="3">
                  <c:v>69732</c:v>
                </c:pt>
                <c:pt idx="4">
                  <c:v>69732</c:v>
                </c:pt>
                <c:pt idx="5">
                  <c:v>69732</c:v>
                </c:pt>
                <c:pt idx="6">
                  <c:v>69732</c:v>
                </c:pt>
                <c:pt idx="7">
                  <c:v>69732</c:v>
                </c:pt>
              </c:numCache>
            </c:numRef>
          </c:val>
          <c:smooth val="0"/>
          <c:extLst>
            <c:ext xmlns:c16="http://schemas.microsoft.com/office/drawing/2014/chart" uri="{C3380CC4-5D6E-409C-BE32-E72D297353CC}">
              <c16:uniqueId val="{00000001-5D75-4E2C-86F1-EA2A39E6572D}"/>
            </c:ext>
          </c:extLst>
        </c:ser>
        <c:dLbls>
          <c:showLegendKey val="0"/>
          <c:showVal val="0"/>
          <c:showCatName val="0"/>
          <c:showSerName val="0"/>
          <c:showPercent val="0"/>
          <c:showBubbleSize val="0"/>
        </c:dLbls>
        <c:smooth val="0"/>
        <c:axId val="1961145695"/>
        <c:axId val="1961146175"/>
      </c:lineChart>
      <c:catAx>
        <c:axId val="1961145695"/>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1146175"/>
        <c:crosses val="autoZero"/>
        <c:auto val="1"/>
        <c:lblAlgn val="ctr"/>
        <c:lblOffset val="100"/>
        <c:noMultiLvlLbl val="0"/>
      </c:catAx>
      <c:valAx>
        <c:axId val="1961146175"/>
        <c:scaling>
          <c:orientation val="minMax"/>
          <c:min val="66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1145695"/>
        <c:crosses val="autoZero"/>
        <c:crossBetween val="between"/>
        <c:maj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2014 - 2015</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'SF 49ers'!$D$253</c:f>
              <c:strCache>
                <c:ptCount val="1"/>
                <c:pt idx="0">
                  <c:v>week</c:v>
                </c:pt>
              </c:strCache>
            </c:strRef>
          </c:tx>
          <c:spPr>
            <a:ln w="28575" cap="rnd">
              <a:solidFill>
                <a:schemeClr val="accent1"/>
              </a:solidFill>
              <a:round/>
            </a:ln>
            <a:effectLst/>
          </c:spPr>
          <c:marker>
            <c:symbol val="none"/>
          </c:marker>
          <c:cat>
            <c:strLit>
              <c:ptCount val="8"/>
              <c:pt idx="0">
                <c:v>2</c:v>
              </c:pt>
              <c:pt idx="1">
                <c:v>4</c:v>
              </c:pt>
              <c:pt idx="2">
                <c:v>5</c:v>
              </c:pt>
              <c:pt idx="3">
                <c:v>9</c:v>
              </c:pt>
              <c:pt idx="4">
                <c:v>12</c:v>
              </c:pt>
              <c:pt idx="5">
                <c:v>13</c:v>
              </c:pt>
              <c:pt idx="6">
                <c:v>16</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'SF 49ers'!$D$254:$D$270</c15:sqref>
                  </c15:fullRef>
                </c:ext>
              </c:extLst>
              <c:f>('SF 49ers'!$D$255,'SF 49ers'!$D$257:$D$258,'SF 49ers'!$D$262,'SF 49ers'!$D$265:$D$266,'SF 49ers'!$D$269:$D$270)</c:f>
              <c:numCache>
                <c:formatCode>General</c:formatCode>
                <c:ptCount val="8"/>
                <c:pt idx="0">
                  <c:v>2</c:v>
                </c:pt>
                <c:pt idx="1">
                  <c:v>4</c:v>
                </c:pt>
                <c:pt idx="2">
                  <c:v>5</c:v>
                </c:pt>
                <c:pt idx="3">
                  <c:v>9</c:v>
                </c:pt>
                <c:pt idx="4">
                  <c:v>12</c:v>
                </c:pt>
                <c:pt idx="5">
                  <c:v>13</c:v>
                </c:pt>
                <c:pt idx="6">
                  <c:v>16</c:v>
                </c:pt>
                <c:pt idx="7">
                  <c:v>17</c:v>
                </c:pt>
              </c:numCache>
            </c:numRef>
          </c:val>
          <c:smooth val="0"/>
          <c:extLst>
            <c:ext xmlns:c16="http://schemas.microsoft.com/office/drawing/2014/chart" uri="{C3380CC4-5D6E-409C-BE32-E72D297353CC}">
              <c16:uniqueId val="{00000000-FAF2-4EE1-887D-7A66DF6FD07B}"/>
            </c:ext>
          </c:extLst>
        </c:ser>
        <c:ser>
          <c:idx val="1"/>
          <c:order val="1"/>
          <c:tx>
            <c:strRef>
              <c:f>'SF 49ers'!$E$253</c:f>
              <c:strCache>
                <c:ptCount val="1"/>
                <c:pt idx="0">
                  <c:v>weekly_attendance</c:v>
                </c:pt>
              </c:strCache>
            </c:strRef>
          </c:tx>
          <c:spPr>
            <a:ln w="28575" cap="rnd">
              <a:solidFill>
                <a:schemeClr val="accent2"/>
              </a:solidFill>
              <a:round/>
            </a:ln>
            <a:effectLst/>
          </c:spPr>
          <c:marker>
            <c:symbol val="none"/>
          </c:marker>
          <c:cat>
            <c:strLit>
              <c:ptCount val="8"/>
              <c:pt idx="0">
                <c:v>2</c:v>
              </c:pt>
              <c:pt idx="1">
                <c:v>4</c:v>
              </c:pt>
              <c:pt idx="2">
                <c:v>5</c:v>
              </c:pt>
              <c:pt idx="3">
                <c:v>9</c:v>
              </c:pt>
              <c:pt idx="4">
                <c:v>12</c:v>
              </c:pt>
              <c:pt idx="5">
                <c:v>13</c:v>
              </c:pt>
              <c:pt idx="6">
                <c:v>16</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'SF 49ers'!$E$254:$E$270</c15:sqref>
                  </c15:fullRef>
                </c:ext>
              </c:extLst>
              <c:f>('SF 49ers'!$E$255,'SF 49ers'!$E$257:$E$258,'SF 49ers'!$E$262,'SF 49ers'!$E$265:$E$266,'SF 49ers'!$E$269:$E$270)</c:f>
              <c:numCache>
                <c:formatCode>General</c:formatCode>
                <c:ptCount val="8"/>
                <c:pt idx="0">
                  <c:v>70799</c:v>
                </c:pt>
                <c:pt idx="1">
                  <c:v>70799</c:v>
                </c:pt>
                <c:pt idx="2">
                  <c:v>70799</c:v>
                </c:pt>
                <c:pt idx="3">
                  <c:v>70799</c:v>
                </c:pt>
                <c:pt idx="4">
                  <c:v>70799</c:v>
                </c:pt>
                <c:pt idx="5">
                  <c:v>70799</c:v>
                </c:pt>
                <c:pt idx="6">
                  <c:v>70699</c:v>
                </c:pt>
                <c:pt idx="7">
                  <c:v>70699</c:v>
                </c:pt>
              </c:numCache>
            </c:numRef>
          </c:val>
          <c:smooth val="0"/>
          <c:extLst>
            <c:ext xmlns:c16="http://schemas.microsoft.com/office/drawing/2014/chart" uri="{C3380CC4-5D6E-409C-BE32-E72D297353CC}">
              <c16:uniqueId val="{00000001-FAF2-4EE1-887D-7A66DF6FD07B}"/>
            </c:ext>
          </c:extLst>
        </c:ser>
        <c:dLbls>
          <c:showLegendKey val="0"/>
          <c:showVal val="0"/>
          <c:showCatName val="0"/>
          <c:showSerName val="0"/>
          <c:showPercent val="0"/>
          <c:showBubbleSize val="0"/>
        </c:dLbls>
        <c:smooth val="0"/>
        <c:axId val="381976000"/>
        <c:axId val="381973120"/>
      </c:lineChart>
      <c:catAx>
        <c:axId val="38197600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1973120"/>
        <c:crosses val="autoZero"/>
        <c:auto val="1"/>
        <c:lblAlgn val="ctr"/>
        <c:lblOffset val="100"/>
        <c:noMultiLvlLbl val="0"/>
      </c:catAx>
      <c:valAx>
        <c:axId val="381973120"/>
        <c:scaling>
          <c:orientation val="minMax"/>
          <c:min val="68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1976000"/>
        <c:crosses val="autoZero"/>
        <c:crossBetween val="between"/>
        <c:maj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2015 - 2016</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'SF 49ers'!$D$271</c:f>
              <c:strCache>
                <c:ptCount val="1"/>
                <c:pt idx="0">
                  <c:v>week</c:v>
                </c:pt>
              </c:strCache>
            </c:strRef>
          </c:tx>
          <c:spPr>
            <a:ln w="28575" cap="rnd">
              <a:solidFill>
                <a:schemeClr val="accent1"/>
              </a:solidFill>
              <a:round/>
            </a:ln>
            <a:effectLst/>
          </c:spPr>
          <c:marker>
            <c:symbol val="none"/>
          </c:marker>
          <c:cat>
            <c:strLit>
              <c:ptCount val="8"/>
              <c:pt idx="0">
                <c:v>1</c:v>
              </c:pt>
              <c:pt idx="1">
                <c:v>4</c:v>
              </c:pt>
              <c:pt idx="2">
                <c:v>6</c:v>
              </c:pt>
              <c:pt idx="3">
                <c:v>7</c:v>
              </c:pt>
              <c:pt idx="4">
                <c:v>9</c:v>
              </c:pt>
              <c:pt idx="5">
                <c:v>12</c:v>
              </c:pt>
              <c:pt idx="6">
                <c:v>15</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'SF 49ers'!$D$272:$D$288</c15:sqref>
                  </c15:fullRef>
                </c:ext>
              </c:extLst>
              <c:f>('SF 49ers'!$D$272,'SF 49ers'!$D$275,'SF 49ers'!$D$277:$D$278,'SF 49ers'!$D$280,'SF 49ers'!$D$283,'SF 49ers'!$D$286,'SF 49ers'!$D$288)</c:f>
              <c:numCache>
                <c:formatCode>General</c:formatCode>
                <c:ptCount val="8"/>
                <c:pt idx="0">
                  <c:v>1</c:v>
                </c:pt>
                <c:pt idx="1">
                  <c:v>4</c:v>
                </c:pt>
                <c:pt idx="2">
                  <c:v>6</c:v>
                </c:pt>
                <c:pt idx="3">
                  <c:v>7</c:v>
                </c:pt>
                <c:pt idx="4">
                  <c:v>9</c:v>
                </c:pt>
                <c:pt idx="5">
                  <c:v>12</c:v>
                </c:pt>
                <c:pt idx="6">
                  <c:v>15</c:v>
                </c:pt>
                <c:pt idx="7">
                  <c:v>17</c:v>
                </c:pt>
              </c:numCache>
            </c:numRef>
          </c:val>
          <c:smooth val="0"/>
          <c:extLst>
            <c:ext xmlns:c16="http://schemas.microsoft.com/office/drawing/2014/chart" uri="{C3380CC4-5D6E-409C-BE32-E72D297353CC}">
              <c16:uniqueId val="{00000000-AA75-4E44-8B0C-4E3C018B0D7E}"/>
            </c:ext>
          </c:extLst>
        </c:ser>
        <c:ser>
          <c:idx val="1"/>
          <c:order val="1"/>
          <c:tx>
            <c:strRef>
              <c:f>'SF 49ers'!$E$271</c:f>
              <c:strCache>
                <c:ptCount val="1"/>
                <c:pt idx="0">
                  <c:v>weekly_attendance</c:v>
                </c:pt>
              </c:strCache>
            </c:strRef>
          </c:tx>
          <c:spPr>
            <a:ln w="28575" cap="rnd">
              <a:solidFill>
                <a:schemeClr val="accent2"/>
              </a:solidFill>
              <a:round/>
            </a:ln>
            <a:effectLst/>
          </c:spPr>
          <c:marker>
            <c:symbol val="none"/>
          </c:marker>
          <c:cat>
            <c:strLit>
              <c:ptCount val="8"/>
              <c:pt idx="0">
                <c:v>1</c:v>
              </c:pt>
              <c:pt idx="1">
                <c:v>4</c:v>
              </c:pt>
              <c:pt idx="2">
                <c:v>6</c:v>
              </c:pt>
              <c:pt idx="3">
                <c:v>7</c:v>
              </c:pt>
              <c:pt idx="4">
                <c:v>9</c:v>
              </c:pt>
              <c:pt idx="5">
                <c:v>12</c:v>
              </c:pt>
              <c:pt idx="6">
                <c:v>15</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'SF 49ers'!$E$272:$E$288</c15:sqref>
                  </c15:fullRef>
                </c:ext>
              </c:extLst>
              <c:f>('SF 49ers'!$E$272,'SF 49ers'!$E$275,'SF 49ers'!$E$277:$E$278,'SF 49ers'!$E$280,'SF 49ers'!$E$283,'SF 49ers'!$E$286,'SF 49ers'!$E$288)</c:f>
              <c:numCache>
                <c:formatCode>General</c:formatCode>
                <c:ptCount val="8"/>
                <c:pt idx="0">
                  <c:v>70499</c:v>
                </c:pt>
                <c:pt idx="1">
                  <c:v>70799</c:v>
                </c:pt>
                <c:pt idx="2">
                  <c:v>70799</c:v>
                </c:pt>
                <c:pt idx="3">
                  <c:v>70799</c:v>
                </c:pt>
                <c:pt idx="4">
                  <c:v>70799</c:v>
                </c:pt>
                <c:pt idx="5">
                  <c:v>70799</c:v>
                </c:pt>
                <c:pt idx="6">
                  <c:v>70799</c:v>
                </c:pt>
                <c:pt idx="7">
                  <c:v>70799</c:v>
                </c:pt>
              </c:numCache>
            </c:numRef>
          </c:val>
          <c:smooth val="0"/>
          <c:extLst>
            <c:ext xmlns:c16="http://schemas.microsoft.com/office/drawing/2014/chart" uri="{C3380CC4-5D6E-409C-BE32-E72D297353CC}">
              <c16:uniqueId val="{00000001-AA75-4E44-8B0C-4E3C018B0D7E}"/>
            </c:ext>
          </c:extLst>
        </c:ser>
        <c:dLbls>
          <c:showLegendKey val="0"/>
          <c:showVal val="0"/>
          <c:showCatName val="0"/>
          <c:showSerName val="0"/>
          <c:showPercent val="0"/>
          <c:showBubbleSize val="0"/>
        </c:dLbls>
        <c:smooth val="0"/>
        <c:axId val="380690096"/>
        <c:axId val="380695856"/>
      </c:lineChart>
      <c:catAx>
        <c:axId val="38069009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695856"/>
        <c:crosses val="autoZero"/>
        <c:auto val="1"/>
        <c:lblAlgn val="ctr"/>
        <c:lblOffset val="100"/>
        <c:noMultiLvlLbl val="0"/>
      </c:catAx>
      <c:valAx>
        <c:axId val="380695856"/>
        <c:scaling>
          <c:orientation val="minMax"/>
          <c:min val="68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690096"/>
        <c:crosses val="autoZero"/>
        <c:crossBetween val="between"/>
        <c:maj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2016 - 2017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'SF 49ers'!$D$289</c:f>
              <c:strCache>
                <c:ptCount val="1"/>
                <c:pt idx="0">
                  <c:v>week</c:v>
                </c:pt>
              </c:strCache>
            </c:strRef>
          </c:tx>
          <c:spPr>
            <a:ln w="28575" cap="rnd">
              <a:solidFill>
                <a:schemeClr val="accent1"/>
              </a:solidFill>
              <a:round/>
            </a:ln>
            <a:effectLst/>
          </c:spPr>
          <c:marker>
            <c:symbol val="none"/>
          </c:marker>
          <c:cat>
            <c:strLit>
              <c:ptCount val="8"/>
              <c:pt idx="0">
                <c:v>1</c:v>
              </c:pt>
              <c:pt idx="1">
                <c:v>4</c:v>
              </c:pt>
              <c:pt idx="2">
                <c:v>5</c:v>
              </c:pt>
              <c:pt idx="3">
                <c:v>7</c:v>
              </c:pt>
              <c:pt idx="4">
                <c:v>9</c:v>
              </c:pt>
              <c:pt idx="5">
                <c:v>11</c:v>
              </c:pt>
              <c:pt idx="6">
                <c:v>14</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'SF 49ers'!$D$290:$D$306</c15:sqref>
                  </c15:fullRef>
                </c:ext>
              </c:extLst>
              <c:f>('SF 49ers'!$D$290,'SF 49ers'!$D$293:$D$294,'SF 49ers'!$D$296,'SF 49ers'!$D$298,'SF 49ers'!$D$300,'SF 49ers'!$D$303,'SF 49ers'!$D$306)</c:f>
              <c:numCache>
                <c:formatCode>General</c:formatCode>
                <c:ptCount val="8"/>
                <c:pt idx="0">
                  <c:v>1</c:v>
                </c:pt>
                <c:pt idx="1">
                  <c:v>4</c:v>
                </c:pt>
                <c:pt idx="2">
                  <c:v>5</c:v>
                </c:pt>
                <c:pt idx="3">
                  <c:v>7</c:v>
                </c:pt>
                <c:pt idx="4">
                  <c:v>9</c:v>
                </c:pt>
                <c:pt idx="5">
                  <c:v>11</c:v>
                </c:pt>
                <c:pt idx="6">
                  <c:v>14</c:v>
                </c:pt>
                <c:pt idx="7">
                  <c:v>17</c:v>
                </c:pt>
              </c:numCache>
            </c:numRef>
          </c:val>
          <c:smooth val="0"/>
          <c:extLst>
            <c:ext xmlns:c16="http://schemas.microsoft.com/office/drawing/2014/chart" uri="{C3380CC4-5D6E-409C-BE32-E72D297353CC}">
              <c16:uniqueId val="{00000000-8B22-48E6-83EF-9C7BEE8666E2}"/>
            </c:ext>
          </c:extLst>
        </c:ser>
        <c:ser>
          <c:idx val="1"/>
          <c:order val="1"/>
          <c:tx>
            <c:strRef>
              <c:f>'SF 49ers'!$E$289</c:f>
              <c:strCache>
                <c:ptCount val="1"/>
                <c:pt idx="0">
                  <c:v>weekly_attendance</c:v>
                </c:pt>
              </c:strCache>
            </c:strRef>
          </c:tx>
          <c:spPr>
            <a:ln w="28575" cap="rnd">
              <a:solidFill>
                <a:schemeClr val="accent2"/>
              </a:solidFill>
              <a:round/>
            </a:ln>
            <a:effectLst/>
          </c:spPr>
          <c:marker>
            <c:symbol val="none"/>
          </c:marker>
          <c:cat>
            <c:strLit>
              <c:ptCount val="8"/>
              <c:pt idx="0">
                <c:v>1</c:v>
              </c:pt>
              <c:pt idx="1">
                <c:v>4</c:v>
              </c:pt>
              <c:pt idx="2">
                <c:v>5</c:v>
              </c:pt>
              <c:pt idx="3">
                <c:v>7</c:v>
              </c:pt>
              <c:pt idx="4">
                <c:v>9</c:v>
              </c:pt>
              <c:pt idx="5">
                <c:v>11</c:v>
              </c:pt>
              <c:pt idx="6">
                <c:v>14</c:v>
              </c:pt>
              <c:pt idx="7">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'SF 49ers'!$E$290:$E$306</c15:sqref>
                  </c15:fullRef>
                </c:ext>
              </c:extLst>
              <c:f>('SF 49ers'!$E$290,'SF 49ers'!$E$293:$E$294,'SF 49ers'!$E$296,'SF 49ers'!$E$298,'SF 49ers'!$E$300,'SF 49ers'!$E$303,'SF 49ers'!$E$306)</c:f>
              <c:numCache>
                <c:formatCode>General</c:formatCode>
                <c:ptCount val="8"/>
                <c:pt idx="0">
                  <c:v>70178</c:v>
                </c:pt>
                <c:pt idx="1">
                  <c:v>70178</c:v>
                </c:pt>
                <c:pt idx="2">
                  <c:v>70178</c:v>
                </c:pt>
                <c:pt idx="3">
                  <c:v>70178</c:v>
                </c:pt>
                <c:pt idx="4">
                  <c:v>70178</c:v>
                </c:pt>
                <c:pt idx="5">
                  <c:v>70178</c:v>
                </c:pt>
                <c:pt idx="6">
                  <c:v>70178</c:v>
                </c:pt>
                <c:pt idx="7">
                  <c:v>70178</c:v>
                </c:pt>
              </c:numCache>
            </c:numRef>
          </c:val>
          <c:smooth val="0"/>
          <c:extLst>
            <c:ext xmlns:c16="http://schemas.microsoft.com/office/drawing/2014/chart" uri="{C3380CC4-5D6E-409C-BE32-E72D297353CC}">
              <c16:uniqueId val="{00000001-8B22-48E6-83EF-9C7BEE8666E2}"/>
            </c:ext>
          </c:extLst>
        </c:ser>
        <c:dLbls>
          <c:showLegendKey val="0"/>
          <c:showVal val="0"/>
          <c:showCatName val="0"/>
          <c:showSerName val="0"/>
          <c:showPercent val="0"/>
          <c:showBubbleSize val="0"/>
        </c:dLbls>
        <c:smooth val="0"/>
        <c:axId val="394380336"/>
        <c:axId val="394381776"/>
      </c:lineChart>
      <c:catAx>
        <c:axId val="3943803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381776"/>
        <c:crosses val="autoZero"/>
        <c:auto val="1"/>
        <c:lblAlgn val="ctr"/>
        <c:lblOffset val="100"/>
        <c:noMultiLvlLbl val="0"/>
      </c:catAx>
      <c:valAx>
        <c:axId val="394381776"/>
        <c:scaling>
          <c:orientation val="minMax"/>
          <c:min val="68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380336"/>
        <c:crosses val="autoZero"/>
        <c:crossBetween val="between"/>
        <c:maj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2017 - 2018</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'SF 49ers'!$D$307</c:f>
              <c:strCache>
                <c:ptCount val="1"/>
                <c:pt idx="0">
                  <c:v>week</c:v>
                </c:pt>
              </c:strCache>
            </c:strRef>
          </c:tx>
          <c:spPr>
            <a:ln w="28575" cap="rnd">
              <a:solidFill>
                <a:schemeClr val="accent1"/>
              </a:solidFill>
              <a:round/>
            </a:ln>
            <a:effectLst/>
          </c:spPr>
          <c:marker>
            <c:symbol val="none"/>
          </c:marker>
          <c:cat>
            <c:strLit>
              <c:ptCount val="8"/>
              <c:pt idx="0">
                <c:v>1</c:v>
              </c:pt>
              <c:pt idx="1">
                <c:v>3</c:v>
              </c:pt>
              <c:pt idx="2">
                <c:v>7</c:v>
              </c:pt>
              <c:pt idx="3">
                <c:v>9</c:v>
              </c:pt>
              <c:pt idx="4">
                <c:v>10</c:v>
              </c:pt>
              <c:pt idx="5">
                <c:v>12</c:v>
              </c:pt>
              <c:pt idx="6">
                <c:v>15</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'SF 49ers'!$D$308:$D$324</c15:sqref>
                  </c15:fullRef>
                </c:ext>
              </c:extLst>
              <c:f>('SF 49ers'!$D$308,'SF 49ers'!$D$310,'SF 49ers'!$D$314,'SF 49ers'!$D$316:$D$317,'SF 49ers'!$D$319,'SF 49ers'!$D$322:$D$323)</c:f>
              <c:numCache>
                <c:formatCode>General</c:formatCode>
                <c:ptCount val="8"/>
                <c:pt idx="0">
                  <c:v>1</c:v>
                </c:pt>
                <c:pt idx="1">
                  <c:v>3</c:v>
                </c:pt>
                <c:pt idx="2">
                  <c:v>7</c:v>
                </c:pt>
                <c:pt idx="3">
                  <c:v>9</c:v>
                </c:pt>
                <c:pt idx="4">
                  <c:v>10</c:v>
                </c:pt>
                <c:pt idx="5">
                  <c:v>12</c:v>
                </c:pt>
                <c:pt idx="6">
                  <c:v>15</c:v>
                </c:pt>
                <c:pt idx="7">
                  <c:v>16</c:v>
                </c:pt>
              </c:numCache>
            </c:numRef>
          </c:val>
          <c:smooth val="0"/>
          <c:extLst>
            <c:ext xmlns:c16="http://schemas.microsoft.com/office/drawing/2014/chart" uri="{C3380CC4-5D6E-409C-BE32-E72D297353CC}">
              <c16:uniqueId val="{00000000-74A5-4DFC-91A8-A7C0403FEF8E}"/>
            </c:ext>
          </c:extLst>
        </c:ser>
        <c:ser>
          <c:idx val="1"/>
          <c:order val="1"/>
          <c:tx>
            <c:strRef>
              <c:f>'SF 49ers'!$E$307</c:f>
              <c:strCache>
                <c:ptCount val="1"/>
                <c:pt idx="0">
                  <c:v>weekly_attendance</c:v>
                </c:pt>
              </c:strCache>
            </c:strRef>
          </c:tx>
          <c:spPr>
            <a:ln w="28575" cap="rnd">
              <a:solidFill>
                <a:schemeClr val="accent2"/>
              </a:solidFill>
              <a:round/>
            </a:ln>
            <a:effectLst/>
          </c:spPr>
          <c:marker>
            <c:symbol val="none"/>
          </c:marker>
          <c:cat>
            <c:strLit>
              <c:ptCount val="8"/>
              <c:pt idx="0">
                <c:v>1</c:v>
              </c:pt>
              <c:pt idx="1">
                <c:v>3</c:v>
              </c:pt>
              <c:pt idx="2">
                <c:v>7</c:v>
              </c:pt>
              <c:pt idx="3">
                <c:v>9</c:v>
              </c:pt>
              <c:pt idx="4">
                <c:v>10</c:v>
              </c:pt>
              <c:pt idx="5">
                <c:v>12</c:v>
              </c:pt>
              <c:pt idx="6">
                <c:v>15</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'SF 49ers'!$E$308:$E$324</c15:sqref>
                  </c15:fullRef>
                </c:ext>
              </c:extLst>
              <c:f>('SF 49ers'!$E$308,'SF 49ers'!$E$310,'SF 49ers'!$E$314,'SF 49ers'!$E$316:$E$317,'SF 49ers'!$E$319,'SF 49ers'!$E$322:$E$323)</c:f>
              <c:numCache>
                <c:formatCode>General</c:formatCode>
                <c:ptCount val="8"/>
                <c:pt idx="0">
                  <c:v>70178</c:v>
                </c:pt>
                <c:pt idx="1">
                  <c:v>70178</c:v>
                </c:pt>
                <c:pt idx="2">
                  <c:v>70133</c:v>
                </c:pt>
                <c:pt idx="3">
                  <c:v>70133</c:v>
                </c:pt>
                <c:pt idx="4">
                  <c:v>70133</c:v>
                </c:pt>
                <c:pt idx="5">
                  <c:v>70134</c:v>
                </c:pt>
                <c:pt idx="6">
                  <c:v>70133</c:v>
                </c:pt>
                <c:pt idx="7">
                  <c:v>70133</c:v>
                </c:pt>
              </c:numCache>
            </c:numRef>
          </c:val>
          <c:smooth val="0"/>
          <c:extLst>
            <c:ext xmlns:c16="http://schemas.microsoft.com/office/drawing/2014/chart" uri="{C3380CC4-5D6E-409C-BE32-E72D297353CC}">
              <c16:uniqueId val="{00000001-74A5-4DFC-91A8-A7C0403FEF8E}"/>
            </c:ext>
          </c:extLst>
        </c:ser>
        <c:dLbls>
          <c:showLegendKey val="0"/>
          <c:showVal val="0"/>
          <c:showCatName val="0"/>
          <c:showSerName val="0"/>
          <c:showPercent val="0"/>
          <c:showBubbleSize val="0"/>
        </c:dLbls>
        <c:smooth val="0"/>
        <c:axId val="233719824"/>
        <c:axId val="233720304"/>
      </c:lineChart>
      <c:catAx>
        <c:axId val="233719824"/>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3720304"/>
        <c:crosses val="autoZero"/>
        <c:auto val="1"/>
        <c:lblAlgn val="ctr"/>
        <c:lblOffset val="100"/>
        <c:noMultiLvlLbl val="0"/>
      </c:catAx>
      <c:valAx>
        <c:axId val="233720304"/>
        <c:scaling>
          <c:orientation val="minMax"/>
          <c:min val="68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3719824"/>
        <c:crosses val="autoZero"/>
        <c:crossBetween val="between"/>
        <c:maj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2018 - 2019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'SF 49ers'!$D$325</c:f>
              <c:strCache>
                <c:ptCount val="1"/>
                <c:pt idx="0">
                  <c:v>week</c:v>
                </c:pt>
              </c:strCache>
            </c:strRef>
          </c:tx>
          <c:spPr>
            <a:ln w="28575" cap="rnd">
              <a:solidFill>
                <a:schemeClr val="accent1"/>
              </a:solidFill>
              <a:round/>
            </a:ln>
            <a:effectLst/>
          </c:spPr>
          <c:marker>
            <c:symbol val="none"/>
          </c:marker>
          <c:cat>
            <c:strLit>
              <c:ptCount val="8"/>
              <c:pt idx="0">
                <c:v>1</c:v>
              </c:pt>
              <c:pt idx="1">
                <c:v>4</c:v>
              </c:pt>
              <c:pt idx="2">
                <c:v>6</c:v>
              </c:pt>
              <c:pt idx="3">
                <c:v>8</c:v>
              </c:pt>
              <c:pt idx="4">
                <c:v>9</c:v>
              </c:pt>
              <c:pt idx="5">
                <c:v>13</c:v>
              </c:pt>
              <c:pt idx="6">
                <c:v>14</c:v>
              </c:pt>
              <c:pt idx="7">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'SF 49ers'!$D$326:$D$341</c15:sqref>
                  </c15:fullRef>
                </c:ext>
              </c:extLst>
              <c:f>('SF 49ers'!$D$326,'SF 49ers'!$D$329,'SF 49ers'!$D$331,'SF 49ers'!$D$333:$D$334,'SF 49ers'!$D$338:$D$340)</c:f>
              <c:numCache>
                <c:formatCode>General</c:formatCode>
                <c:ptCount val="8"/>
                <c:pt idx="0">
                  <c:v>2</c:v>
                </c:pt>
                <c:pt idx="1">
                  <c:v>5</c:v>
                </c:pt>
                <c:pt idx="2">
                  <c:v>7</c:v>
                </c:pt>
                <c:pt idx="3">
                  <c:v>9</c:v>
                </c:pt>
                <c:pt idx="4">
                  <c:v>10</c:v>
                </c:pt>
                <c:pt idx="5">
                  <c:v>14</c:v>
                </c:pt>
                <c:pt idx="6">
                  <c:v>15</c:v>
                </c:pt>
                <c:pt idx="7">
                  <c:v>16</c:v>
                </c:pt>
              </c:numCache>
            </c:numRef>
          </c:val>
          <c:smooth val="0"/>
          <c:extLst>
            <c:ext xmlns:c16="http://schemas.microsoft.com/office/drawing/2014/chart" uri="{C3380CC4-5D6E-409C-BE32-E72D297353CC}">
              <c16:uniqueId val="{00000000-8110-42EC-83FD-A5F69D23253A}"/>
            </c:ext>
          </c:extLst>
        </c:ser>
        <c:ser>
          <c:idx val="1"/>
          <c:order val="1"/>
          <c:tx>
            <c:strRef>
              <c:f>'SF 49ers'!$E$325</c:f>
              <c:strCache>
                <c:ptCount val="1"/>
                <c:pt idx="0">
                  <c:v>weekly_attendance</c:v>
                </c:pt>
              </c:strCache>
            </c:strRef>
          </c:tx>
          <c:spPr>
            <a:ln w="28575" cap="rnd">
              <a:solidFill>
                <a:schemeClr val="accent2"/>
              </a:solidFill>
              <a:round/>
            </a:ln>
            <a:effectLst/>
          </c:spPr>
          <c:marker>
            <c:symbol val="none"/>
          </c:marker>
          <c:cat>
            <c:strLit>
              <c:ptCount val="8"/>
              <c:pt idx="0">
                <c:v>1</c:v>
              </c:pt>
              <c:pt idx="1">
                <c:v>4</c:v>
              </c:pt>
              <c:pt idx="2">
                <c:v>6</c:v>
              </c:pt>
              <c:pt idx="3">
                <c:v>8</c:v>
              </c:pt>
              <c:pt idx="4">
                <c:v>9</c:v>
              </c:pt>
              <c:pt idx="5">
                <c:v>13</c:v>
              </c:pt>
              <c:pt idx="6">
                <c:v>14</c:v>
              </c:pt>
              <c:pt idx="7">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'SF 49ers'!$E$326:$E$341</c15:sqref>
                  </c15:fullRef>
                </c:ext>
              </c:extLst>
              <c:f>('SF 49ers'!$E$326,'SF 49ers'!$E$329,'SF 49ers'!$E$331,'SF 49ers'!$E$333:$E$334,'SF 49ers'!$E$338:$E$340)</c:f>
              <c:numCache>
                <c:formatCode>General</c:formatCode>
                <c:ptCount val="8"/>
                <c:pt idx="0">
                  <c:v>70164</c:v>
                </c:pt>
                <c:pt idx="1">
                  <c:v>68337</c:v>
                </c:pt>
                <c:pt idx="2">
                  <c:v>66597</c:v>
                </c:pt>
                <c:pt idx="3">
                  <c:v>69592</c:v>
                </c:pt>
                <c:pt idx="4">
                  <c:v>69409</c:v>
                </c:pt>
                <c:pt idx="5">
                  <c:v>69449</c:v>
                </c:pt>
                <c:pt idx="6">
                  <c:v>68836</c:v>
                </c:pt>
                <c:pt idx="7">
                  <c:v>70806</c:v>
                </c:pt>
              </c:numCache>
            </c:numRef>
          </c:val>
          <c:smooth val="0"/>
          <c:extLst>
            <c:ext xmlns:c16="http://schemas.microsoft.com/office/drawing/2014/chart" uri="{C3380CC4-5D6E-409C-BE32-E72D297353CC}">
              <c16:uniqueId val="{00000001-8110-42EC-83FD-A5F69D23253A}"/>
            </c:ext>
          </c:extLst>
        </c:ser>
        <c:dLbls>
          <c:showLegendKey val="0"/>
          <c:showVal val="0"/>
          <c:showCatName val="0"/>
          <c:showSerName val="0"/>
          <c:showPercent val="0"/>
          <c:showBubbleSize val="0"/>
        </c:dLbls>
        <c:smooth val="0"/>
        <c:axId val="404126176"/>
        <c:axId val="404137696"/>
      </c:lineChart>
      <c:catAx>
        <c:axId val="40412617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137696"/>
        <c:crosses val="autoZero"/>
        <c:auto val="1"/>
        <c:lblAlgn val="ctr"/>
        <c:lblOffset val="100"/>
        <c:noMultiLvlLbl val="0"/>
      </c:catAx>
      <c:valAx>
        <c:axId val="404137696"/>
        <c:scaling>
          <c:orientation val="minMax"/>
          <c:max val="71000"/>
          <c:min val="66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126176"/>
        <c:crosses val="autoZero"/>
        <c:crossBetween val="between"/>
        <c:maj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2019 - 2020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'SF 49ers'!$D$342</c:f>
              <c:strCache>
                <c:ptCount val="1"/>
                <c:pt idx="0">
                  <c:v>week</c:v>
                </c:pt>
              </c:strCache>
            </c:strRef>
          </c:tx>
          <c:spPr>
            <a:ln w="28575" cap="rnd">
              <a:solidFill>
                <a:schemeClr val="accent1"/>
              </a:solidFill>
              <a:round/>
            </a:ln>
            <a:effectLst/>
          </c:spPr>
          <c:marker>
            <c:symbol val="none"/>
          </c:marker>
          <c:cat>
            <c:strLit>
              <c:ptCount val="8"/>
              <c:pt idx="0">
                <c:v>3</c:v>
              </c:pt>
              <c:pt idx="1">
                <c:v>5</c:v>
              </c:pt>
              <c:pt idx="2">
                <c:v>8</c:v>
              </c:pt>
              <c:pt idx="3">
                <c:v>10</c:v>
              </c:pt>
              <c:pt idx="4">
                <c:v>11</c:v>
              </c:pt>
              <c:pt idx="5">
                <c:v>12</c:v>
              </c:pt>
              <c:pt idx="6">
                <c:v>15</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'SF 49ers'!$D$343:$D$359</c15:sqref>
                  </c15:fullRef>
                </c:ext>
              </c:extLst>
              <c:f>('SF 49ers'!$D$345,'SF 49ers'!$D$347,'SF 49ers'!$D$350,'SF 49ers'!$D$352:$D$354,'SF 49ers'!$D$357:$D$358)</c:f>
              <c:numCache>
                <c:formatCode>General</c:formatCode>
                <c:ptCount val="8"/>
                <c:pt idx="0">
                  <c:v>3</c:v>
                </c:pt>
                <c:pt idx="1">
                  <c:v>5</c:v>
                </c:pt>
                <c:pt idx="2">
                  <c:v>8</c:v>
                </c:pt>
                <c:pt idx="3">
                  <c:v>10</c:v>
                </c:pt>
                <c:pt idx="4">
                  <c:v>11</c:v>
                </c:pt>
                <c:pt idx="5">
                  <c:v>12</c:v>
                </c:pt>
                <c:pt idx="6">
                  <c:v>15</c:v>
                </c:pt>
                <c:pt idx="7">
                  <c:v>16</c:v>
                </c:pt>
              </c:numCache>
            </c:numRef>
          </c:val>
          <c:smooth val="0"/>
          <c:extLst>
            <c:ext xmlns:c16="http://schemas.microsoft.com/office/drawing/2014/chart" uri="{C3380CC4-5D6E-409C-BE32-E72D297353CC}">
              <c16:uniqueId val="{00000000-9615-4AA7-B3FC-66D869659FEB}"/>
            </c:ext>
          </c:extLst>
        </c:ser>
        <c:ser>
          <c:idx val="1"/>
          <c:order val="1"/>
          <c:tx>
            <c:strRef>
              <c:f>'SF 49ers'!$E$342</c:f>
              <c:strCache>
                <c:ptCount val="1"/>
                <c:pt idx="0">
                  <c:v>weekly_attendance</c:v>
                </c:pt>
              </c:strCache>
            </c:strRef>
          </c:tx>
          <c:spPr>
            <a:ln w="28575" cap="rnd">
              <a:solidFill>
                <a:schemeClr val="accent2"/>
              </a:solidFill>
              <a:round/>
            </a:ln>
            <a:effectLst/>
          </c:spPr>
          <c:marker>
            <c:symbol val="none"/>
          </c:marker>
          <c:cat>
            <c:strLit>
              <c:ptCount val="8"/>
              <c:pt idx="0">
                <c:v>3</c:v>
              </c:pt>
              <c:pt idx="1">
                <c:v>5</c:v>
              </c:pt>
              <c:pt idx="2">
                <c:v>8</c:v>
              </c:pt>
              <c:pt idx="3">
                <c:v>10</c:v>
              </c:pt>
              <c:pt idx="4">
                <c:v>11</c:v>
              </c:pt>
              <c:pt idx="5">
                <c:v>12</c:v>
              </c:pt>
              <c:pt idx="6">
                <c:v>15</c:v>
              </c:pt>
              <c:pt idx="7">
                <c:v>16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'SF 49ers'!$E$343:$E$359</c15:sqref>
                  </c15:fullRef>
                </c:ext>
              </c:extLst>
              <c:f>('SF 49ers'!$E$345,'SF 49ers'!$E$347,'SF 49ers'!$E$350,'SF 49ers'!$E$352:$E$354,'SF 49ers'!$E$357:$E$358)</c:f>
              <c:numCache>
                <c:formatCode>General</c:formatCode>
                <c:ptCount val="8"/>
                <c:pt idx="0">
                  <c:v>69439</c:v>
                </c:pt>
                <c:pt idx="1">
                  <c:v>70585</c:v>
                </c:pt>
                <c:pt idx="2">
                  <c:v>69083</c:v>
                </c:pt>
                <c:pt idx="3">
                  <c:v>71404</c:v>
                </c:pt>
                <c:pt idx="4">
                  <c:v>69419</c:v>
                </c:pt>
                <c:pt idx="5">
                  <c:v>71500</c:v>
                </c:pt>
                <c:pt idx="6">
                  <c:v>70910</c:v>
                </c:pt>
                <c:pt idx="7">
                  <c:v>70103</c:v>
                </c:pt>
              </c:numCache>
            </c:numRef>
          </c:val>
          <c:smooth val="0"/>
          <c:extLst>
            <c:ext xmlns:c16="http://schemas.microsoft.com/office/drawing/2014/chart" uri="{C3380CC4-5D6E-409C-BE32-E72D297353CC}">
              <c16:uniqueId val="{00000001-9615-4AA7-B3FC-66D869659FEB}"/>
            </c:ext>
          </c:extLst>
        </c:ser>
        <c:dLbls>
          <c:showLegendKey val="0"/>
          <c:showVal val="0"/>
          <c:showCatName val="0"/>
          <c:showSerName val="0"/>
          <c:showPercent val="0"/>
          <c:showBubbleSize val="0"/>
        </c:dLbls>
        <c:smooth val="0"/>
        <c:axId val="161890784"/>
        <c:axId val="161876864"/>
      </c:lineChart>
      <c:catAx>
        <c:axId val="161890784"/>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876864"/>
        <c:crosses val="autoZero"/>
        <c:auto val="1"/>
        <c:lblAlgn val="ctr"/>
        <c:lblOffset val="100"/>
        <c:noMultiLvlLbl val="0"/>
      </c:catAx>
      <c:valAx>
        <c:axId val="161876864"/>
        <c:scaling>
          <c:orientation val="minMax"/>
          <c:min val="68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890784"/>
        <c:crosses val="autoZero"/>
        <c:crossBetween val="between"/>
        <c:maj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Arizona</a:t>
            </a:r>
            <a:r>
              <a:rPr lang="en-US" baseline="0"/>
              <a:t> Cardinals 2000-2019</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2"/>
          <c:order val="2"/>
          <c:tx>
            <c:strRef>
              <c:f>'Raw Data.All_AUX'!$D$1</c:f>
              <c:strCache>
                <c:ptCount val="1"/>
                <c:pt idx="0">
                  <c:v>Post Season Performance</c:v>
                </c:pt>
              </c:strCache>
            </c:strRef>
          </c:tx>
          <c:spPr>
            <a:solidFill>
              <a:schemeClr val="accent4"/>
            </a:solidFill>
            <a:ln>
              <a:noFill/>
            </a:ln>
            <a:effectLst/>
          </c:spPr>
          <c:val>
            <c:numRef>
              <c:f>'Raw Data.All_AUX'!$D$2:$D$24</c:f>
              <c:numCache>
                <c:formatCode>General</c:formatCode>
                <c:ptCount val="23"/>
                <c:pt idx="0">
                  <c:v>0</c:v>
                </c:pt>
                <c:pt idx="1">
                  <c:v>0</c:v>
                </c:pt>
                <c:pt idx="2">
                  <c:v>0</c:v>
                </c:pt>
                <c:pt idx="3">
                  <c:v>0</c:v>
                </c:pt>
                <c:pt idx="4">
                  <c:v>0</c:v>
                </c:pt>
                <c:pt idx="5">
                  <c:v>0</c:v>
                </c:pt>
                <c:pt idx="6">
                  <c:v>0</c:v>
                </c:pt>
                <c:pt idx="7">
                  <c:v>0</c:v>
                </c:pt>
                <c:pt idx="8">
                  <c:v>1</c:v>
                </c:pt>
                <c:pt idx="9">
                  <c:v>1</c:v>
                </c:pt>
                <c:pt idx="10">
                  <c:v>0</c:v>
                </c:pt>
                <c:pt idx="11">
                  <c:v>0</c:v>
                </c:pt>
                <c:pt idx="12">
                  <c:v>0</c:v>
                </c:pt>
                <c:pt idx="13">
                  <c:v>0</c:v>
                </c:pt>
                <c:pt idx="14">
                  <c:v>1</c:v>
                </c:pt>
                <c:pt idx="15">
                  <c:v>1</c:v>
                </c:pt>
                <c:pt idx="16">
                  <c:v>0</c:v>
                </c:pt>
                <c:pt idx="17">
                  <c:v>0</c:v>
                </c:pt>
                <c:pt idx="18">
                  <c:v>0</c:v>
                </c:pt>
                <c:pt idx="19">
                  <c:v>0</c:v>
                </c:pt>
              </c:numCache>
            </c:numRef>
          </c:val>
          <c:extLst>
            <c:ext xmlns:c16="http://schemas.microsoft.com/office/drawing/2014/chart" uri="{C3380CC4-5D6E-409C-BE32-E72D297353CC}">
              <c16:uniqueId val="{00000000-A786-4320-9DCA-9FF4DC9A0C88}"/>
            </c:ext>
          </c:extLst>
        </c:ser>
        <c:dLbls>
          <c:showLegendKey val="0"/>
          <c:showVal val="0"/>
          <c:showCatName val="0"/>
          <c:showSerName val="0"/>
          <c:showPercent val="0"/>
          <c:showBubbleSize val="0"/>
        </c:dLbls>
        <c:axId val="475853936"/>
        <c:axId val="475854416"/>
      </c:areaChart>
      <c:barChart>
        <c:barDir val="col"/>
        <c:grouping val="clustered"/>
        <c:varyColors val="0"/>
        <c:ser>
          <c:idx val="0"/>
          <c:order val="0"/>
          <c:tx>
            <c:strRef>
              <c:f>'Raw Data.All_AUX'!$B$1</c:f>
              <c:strCache>
                <c:ptCount val="1"/>
                <c:pt idx="0">
                  <c:v>AZ Cardinals</c:v>
                </c:pt>
              </c:strCache>
            </c:strRef>
          </c:tx>
          <c:spPr>
            <a:solidFill>
              <a:schemeClr val="accent1"/>
            </a:solidFill>
            <a:ln>
              <a:noFill/>
            </a:ln>
            <a:effectLst/>
          </c:spPr>
          <c:invertIfNegative val="0"/>
          <c:val>
            <c:numRef>
              <c:f>'Raw Data.All_AUX'!$B$2:$B$24</c:f>
              <c:numCache>
                <c:formatCode>0.00</c:formatCode>
                <c:ptCount val="23"/>
                <c:pt idx="0">
                  <c:v>48434.375</c:v>
                </c:pt>
                <c:pt idx="1">
                  <c:v>38414.375</c:v>
                </c:pt>
                <c:pt idx="2">
                  <c:v>40909</c:v>
                </c:pt>
                <c:pt idx="3">
                  <c:v>36062.375</c:v>
                </c:pt>
                <c:pt idx="4">
                  <c:v>38695.599999999999</c:v>
                </c:pt>
                <c:pt idx="5">
                  <c:v>45129.375</c:v>
                </c:pt>
                <c:pt idx="6">
                  <c:v>63603.625</c:v>
                </c:pt>
                <c:pt idx="7">
                  <c:v>64487</c:v>
                </c:pt>
                <c:pt idx="8">
                  <c:v>64144.800000000003</c:v>
                </c:pt>
                <c:pt idx="9">
                  <c:v>63142.875</c:v>
                </c:pt>
                <c:pt idx="10">
                  <c:v>62774.625</c:v>
                </c:pt>
                <c:pt idx="11">
                  <c:v>61181.875</c:v>
                </c:pt>
                <c:pt idx="12">
                  <c:v>60890.625</c:v>
                </c:pt>
                <c:pt idx="13">
                  <c:v>61033.875</c:v>
                </c:pt>
                <c:pt idx="14">
                  <c:v>61292</c:v>
                </c:pt>
                <c:pt idx="15">
                  <c:v>64185.875</c:v>
                </c:pt>
                <c:pt idx="16">
                  <c:v>64831.5</c:v>
                </c:pt>
                <c:pt idx="17">
                  <c:v>64217.625</c:v>
                </c:pt>
                <c:pt idx="18">
                  <c:v>61686</c:v>
                </c:pt>
                <c:pt idx="19">
                  <c:v>61323.25</c:v>
                </c:pt>
                <c:pt idx="20">
                  <c:v>62408.958333333336</c:v>
                </c:pt>
                <c:pt idx="21">
                  <c:v>61806.069444444445</c:v>
                </c:pt>
                <c:pt idx="22">
                  <c:v>61846.092592592591</c:v>
                </c:pt>
              </c:numCache>
            </c:numRef>
          </c:val>
          <c:extLst>
            <c:ext xmlns:c16="http://schemas.microsoft.com/office/drawing/2014/chart" uri="{C3380CC4-5D6E-409C-BE32-E72D297353CC}">
              <c16:uniqueId val="{00000001-A786-4320-9DCA-9FF4DC9A0C88}"/>
            </c:ext>
          </c:extLst>
        </c:ser>
        <c:dLbls>
          <c:showLegendKey val="0"/>
          <c:showVal val="0"/>
          <c:showCatName val="0"/>
          <c:showSerName val="0"/>
          <c:showPercent val="0"/>
          <c:showBubbleSize val="0"/>
        </c:dLbls>
        <c:gapWidth val="219"/>
        <c:axId val="590495168"/>
        <c:axId val="590492768"/>
      </c:barChart>
      <c:lineChart>
        <c:grouping val="standard"/>
        <c:varyColors val="0"/>
        <c:ser>
          <c:idx val="1"/>
          <c:order val="1"/>
          <c:tx>
            <c:strRef>
              <c:f>'Raw Data.All_AUX'!$C$1</c:f>
              <c:strCache>
                <c:ptCount val="1"/>
                <c:pt idx="0">
                  <c:v>WINS</c:v>
                </c:pt>
              </c:strCache>
            </c:strRef>
          </c:tx>
          <c:spPr>
            <a:ln w="28575" cap="rnd">
              <a:solidFill>
                <a:schemeClr val="accent2"/>
              </a:solidFill>
              <a:round/>
            </a:ln>
            <a:effectLst/>
          </c:spPr>
          <c:marker>
            <c:symbol val="none"/>
          </c:marker>
          <c:val>
            <c:numRef>
              <c:f>'Raw Data.All_AUX'!$C$2:$C$24</c:f>
              <c:numCache>
                <c:formatCode>General</c:formatCode>
                <c:ptCount val="23"/>
                <c:pt idx="0">
                  <c:v>3</c:v>
                </c:pt>
                <c:pt idx="1">
                  <c:v>7</c:v>
                </c:pt>
                <c:pt idx="2">
                  <c:v>5</c:v>
                </c:pt>
                <c:pt idx="3">
                  <c:v>4</c:v>
                </c:pt>
                <c:pt idx="4">
                  <c:v>6</c:v>
                </c:pt>
                <c:pt idx="5">
                  <c:v>5</c:v>
                </c:pt>
                <c:pt idx="6">
                  <c:v>5</c:v>
                </c:pt>
                <c:pt idx="7">
                  <c:v>8</c:v>
                </c:pt>
                <c:pt idx="8">
                  <c:v>9</c:v>
                </c:pt>
                <c:pt idx="9">
                  <c:v>10</c:v>
                </c:pt>
                <c:pt idx="10">
                  <c:v>5</c:v>
                </c:pt>
                <c:pt idx="11">
                  <c:v>8</c:v>
                </c:pt>
                <c:pt idx="12">
                  <c:v>5</c:v>
                </c:pt>
                <c:pt idx="13">
                  <c:v>10</c:v>
                </c:pt>
                <c:pt idx="14">
                  <c:v>11</c:v>
                </c:pt>
                <c:pt idx="15">
                  <c:v>13</c:v>
                </c:pt>
                <c:pt idx="16">
                  <c:v>7</c:v>
                </c:pt>
                <c:pt idx="17">
                  <c:v>8</c:v>
                </c:pt>
                <c:pt idx="18">
                  <c:v>3</c:v>
                </c:pt>
                <c:pt idx="19">
                  <c:v>5</c:v>
                </c:pt>
                <c:pt idx="20">
                  <c:v>5.333333333333333</c:v>
                </c:pt>
                <c:pt idx="21">
                  <c:v>4.4444444444444438</c:v>
                </c:pt>
                <c:pt idx="22">
                  <c:v>4.9259259259259247</c:v>
                </c:pt>
              </c:numCache>
            </c:numRef>
          </c:val>
          <c:smooth val="0"/>
          <c:extLst>
            <c:ext xmlns:c16="http://schemas.microsoft.com/office/drawing/2014/chart" uri="{C3380CC4-5D6E-409C-BE32-E72D297353CC}">
              <c16:uniqueId val="{00000002-A786-4320-9DCA-9FF4DC9A0C88}"/>
            </c:ext>
          </c:extLst>
        </c:ser>
        <c:dLbls>
          <c:showLegendKey val="0"/>
          <c:showVal val="0"/>
          <c:showCatName val="0"/>
          <c:showSerName val="0"/>
          <c:showPercent val="0"/>
          <c:showBubbleSize val="0"/>
        </c:dLbls>
        <c:marker val="1"/>
        <c:smooth val="0"/>
        <c:axId val="475853936"/>
        <c:axId val="475854416"/>
      </c:lineChart>
      <c:catAx>
        <c:axId val="59049516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492768"/>
        <c:crosses val="autoZero"/>
        <c:auto val="1"/>
        <c:lblAlgn val="ctr"/>
        <c:lblOffset val="100"/>
        <c:noMultiLvlLbl val="0"/>
      </c:catAx>
      <c:valAx>
        <c:axId val="590492768"/>
        <c:scaling>
          <c:orientation val="minMax"/>
          <c:max val="90000"/>
          <c:min val="3000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495168"/>
        <c:crosses val="autoZero"/>
        <c:crossBetween val="between"/>
      </c:valAx>
      <c:valAx>
        <c:axId val="475854416"/>
        <c:scaling>
          <c:orientation val="minMax"/>
          <c:max val="16"/>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53936"/>
        <c:crosses val="max"/>
        <c:crossBetween val="between"/>
      </c:valAx>
      <c:catAx>
        <c:axId val="475853936"/>
        <c:scaling>
          <c:orientation val="minMax"/>
        </c:scaling>
        <c:delete val="1"/>
        <c:axPos val="b"/>
        <c:majorTickMark val="out"/>
        <c:minorTickMark val="none"/>
        <c:tickLblPos val="nextTo"/>
        <c:crossAx val="47585441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Seattle Seahawks</a:t>
            </a:r>
            <a:r>
              <a:rPr lang="en-US" baseline="0"/>
              <a:t> 2000-2019</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2"/>
          <c:order val="2"/>
          <c:tx>
            <c:strRef>
              <c:f>'Raw Data.All_AUX'!$G$1</c:f>
              <c:strCache>
                <c:ptCount val="1"/>
                <c:pt idx="0">
                  <c:v>Post Season Performance</c:v>
                </c:pt>
              </c:strCache>
            </c:strRef>
          </c:tx>
          <c:spPr>
            <a:solidFill>
              <a:schemeClr val="accent4"/>
            </a:solidFill>
            <a:ln>
              <a:noFill/>
            </a:ln>
            <a:effectLst/>
          </c:spPr>
          <c:val>
            <c:numRef>
              <c:f>'Raw Data.All_AUX'!$G$2:$G$24</c:f>
              <c:numCache>
                <c:formatCode>General</c:formatCode>
                <c:ptCount val="23"/>
                <c:pt idx="0">
                  <c:v>0</c:v>
                </c:pt>
                <c:pt idx="1">
                  <c:v>0</c:v>
                </c:pt>
                <c:pt idx="2">
                  <c:v>1</c:v>
                </c:pt>
                <c:pt idx="3">
                  <c:v>1</c:v>
                </c:pt>
                <c:pt idx="4">
                  <c:v>1</c:v>
                </c:pt>
                <c:pt idx="5">
                  <c:v>1</c:v>
                </c:pt>
                <c:pt idx="6">
                  <c:v>1</c:v>
                </c:pt>
                <c:pt idx="7">
                  <c:v>0</c:v>
                </c:pt>
                <c:pt idx="8">
                  <c:v>0</c:v>
                </c:pt>
                <c:pt idx="9">
                  <c:v>1</c:v>
                </c:pt>
                <c:pt idx="10">
                  <c:v>0</c:v>
                </c:pt>
                <c:pt idx="11">
                  <c:v>1</c:v>
                </c:pt>
                <c:pt idx="12">
                  <c:v>1</c:v>
                </c:pt>
                <c:pt idx="13">
                  <c:v>1</c:v>
                </c:pt>
                <c:pt idx="14">
                  <c:v>1</c:v>
                </c:pt>
                <c:pt idx="15">
                  <c:v>1</c:v>
                </c:pt>
                <c:pt idx="16">
                  <c:v>0</c:v>
                </c:pt>
                <c:pt idx="17">
                  <c:v>1</c:v>
                </c:pt>
                <c:pt idx="18">
                  <c:v>1</c:v>
                </c:pt>
                <c:pt idx="19">
                  <c:v>1</c:v>
                </c:pt>
              </c:numCache>
            </c:numRef>
          </c:val>
          <c:extLst>
            <c:ext xmlns:c16="http://schemas.microsoft.com/office/drawing/2014/chart" uri="{C3380CC4-5D6E-409C-BE32-E72D297353CC}">
              <c16:uniqueId val="{00000000-4C7D-4822-881B-D80BE34278BF}"/>
            </c:ext>
          </c:extLst>
        </c:ser>
        <c:dLbls>
          <c:showLegendKey val="0"/>
          <c:showVal val="0"/>
          <c:showCatName val="0"/>
          <c:showSerName val="0"/>
          <c:showPercent val="0"/>
          <c:showBubbleSize val="0"/>
        </c:dLbls>
        <c:axId val="476026064"/>
        <c:axId val="476025584"/>
      </c:areaChart>
      <c:barChart>
        <c:barDir val="col"/>
        <c:grouping val="clustered"/>
        <c:varyColors val="0"/>
        <c:ser>
          <c:idx val="0"/>
          <c:order val="0"/>
          <c:tx>
            <c:strRef>
              <c:f>'Raw Data.All_AUX'!$E$1</c:f>
              <c:strCache>
                <c:ptCount val="1"/>
                <c:pt idx="0">
                  <c:v>SEA Seahawks</c:v>
                </c:pt>
              </c:strCache>
            </c:strRef>
          </c:tx>
          <c:spPr>
            <a:solidFill>
              <a:schemeClr val="accent1"/>
            </a:solidFill>
            <a:ln>
              <a:noFill/>
            </a:ln>
            <a:effectLst/>
          </c:spPr>
          <c:invertIfNegative val="0"/>
          <c:val>
            <c:numRef>
              <c:f>'Raw Data.All_AUX'!$E$2:$E$24</c:f>
              <c:numCache>
                <c:formatCode>0.00</c:formatCode>
                <c:ptCount val="23"/>
                <c:pt idx="0">
                  <c:v>60352.25</c:v>
                </c:pt>
                <c:pt idx="1">
                  <c:v>63077.625</c:v>
                </c:pt>
                <c:pt idx="2">
                  <c:v>64018.75</c:v>
                </c:pt>
                <c:pt idx="3">
                  <c:v>66679.5</c:v>
                </c:pt>
                <c:pt idx="4">
                  <c:v>66619.25</c:v>
                </c:pt>
                <c:pt idx="5">
                  <c:v>67977.5</c:v>
                </c:pt>
                <c:pt idx="6">
                  <c:v>68193.875</c:v>
                </c:pt>
                <c:pt idx="7">
                  <c:v>67995.625</c:v>
                </c:pt>
                <c:pt idx="8">
                  <c:v>67392.625</c:v>
                </c:pt>
                <c:pt idx="9">
                  <c:v>66992.75</c:v>
                </c:pt>
                <c:pt idx="10">
                  <c:v>66413.875</c:v>
                </c:pt>
                <c:pt idx="11">
                  <c:v>67946.25</c:v>
                </c:pt>
                <c:pt idx="12">
                  <c:v>68197.125</c:v>
                </c:pt>
                <c:pt idx="13">
                  <c:v>68412.25</c:v>
                </c:pt>
                <c:pt idx="14">
                  <c:v>68412.25</c:v>
                </c:pt>
                <c:pt idx="15">
                  <c:v>69020.25</c:v>
                </c:pt>
                <c:pt idx="16">
                  <c:v>69073.5</c:v>
                </c:pt>
                <c:pt idx="17">
                  <c:v>68976.125</c:v>
                </c:pt>
                <c:pt idx="18">
                  <c:v>69001.125</c:v>
                </c:pt>
                <c:pt idx="19">
                  <c:v>68990.875</c:v>
                </c:pt>
                <c:pt idx="20">
                  <c:v>68989.375</c:v>
                </c:pt>
                <c:pt idx="21">
                  <c:v>68993.791666666672</c:v>
                </c:pt>
                <c:pt idx="22">
                  <c:v>68991.347222222234</c:v>
                </c:pt>
              </c:numCache>
            </c:numRef>
          </c:val>
          <c:extLst>
            <c:ext xmlns:c16="http://schemas.microsoft.com/office/drawing/2014/chart" uri="{C3380CC4-5D6E-409C-BE32-E72D297353CC}">
              <c16:uniqueId val="{00000001-4C7D-4822-881B-D80BE34278BF}"/>
            </c:ext>
          </c:extLst>
        </c:ser>
        <c:dLbls>
          <c:showLegendKey val="0"/>
          <c:showVal val="0"/>
          <c:showCatName val="0"/>
          <c:showSerName val="0"/>
          <c:showPercent val="0"/>
          <c:showBubbleSize val="0"/>
        </c:dLbls>
        <c:gapWidth val="219"/>
        <c:axId val="819563568"/>
        <c:axId val="819564048"/>
      </c:barChart>
      <c:lineChart>
        <c:grouping val="standard"/>
        <c:varyColors val="0"/>
        <c:ser>
          <c:idx val="1"/>
          <c:order val="1"/>
          <c:tx>
            <c:strRef>
              <c:f>'Raw Data.All_AUX'!$F$1</c:f>
              <c:strCache>
                <c:ptCount val="1"/>
                <c:pt idx="0">
                  <c:v>WINS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'Raw Data.All_AUX'!$F$2:$F$24</c:f>
              <c:numCache>
                <c:formatCode>General</c:formatCode>
                <c:ptCount val="23"/>
                <c:pt idx="0">
                  <c:v>6</c:v>
                </c:pt>
                <c:pt idx="1">
                  <c:v>9</c:v>
                </c:pt>
                <c:pt idx="2">
                  <c:v>7</c:v>
                </c:pt>
                <c:pt idx="3">
                  <c:v>10</c:v>
                </c:pt>
                <c:pt idx="4">
                  <c:v>9</c:v>
                </c:pt>
                <c:pt idx="5">
                  <c:v>13</c:v>
                </c:pt>
                <c:pt idx="6">
                  <c:v>9</c:v>
                </c:pt>
                <c:pt idx="7">
                  <c:v>10</c:v>
                </c:pt>
                <c:pt idx="8">
                  <c:v>4</c:v>
                </c:pt>
                <c:pt idx="9">
                  <c:v>5</c:v>
                </c:pt>
                <c:pt idx="10">
                  <c:v>7</c:v>
                </c:pt>
                <c:pt idx="11">
                  <c:v>7</c:v>
                </c:pt>
                <c:pt idx="12">
                  <c:v>11</c:v>
                </c:pt>
                <c:pt idx="13">
                  <c:v>13</c:v>
                </c:pt>
                <c:pt idx="14">
                  <c:v>12</c:v>
                </c:pt>
                <c:pt idx="15">
                  <c:v>10</c:v>
                </c:pt>
                <c:pt idx="16">
                  <c:v>10</c:v>
                </c:pt>
                <c:pt idx="17">
                  <c:v>9</c:v>
                </c:pt>
                <c:pt idx="18">
                  <c:v>10</c:v>
                </c:pt>
                <c:pt idx="19">
                  <c:v>11</c:v>
                </c:pt>
                <c:pt idx="20">
                  <c:v>10</c:v>
                </c:pt>
                <c:pt idx="21">
                  <c:v>10.333333333333334</c:v>
                </c:pt>
                <c:pt idx="22">
                  <c:v>10.444444444444445</c:v>
                </c:pt>
              </c:numCache>
            </c:numRef>
          </c:val>
          <c:smooth val="0"/>
          <c:extLst>
            <c:ext xmlns:c16="http://schemas.microsoft.com/office/drawing/2014/chart" uri="{C3380CC4-5D6E-409C-BE32-E72D297353CC}">
              <c16:uniqueId val="{00000002-4C7D-4822-881B-D80BE34278BF}"/>
            </c:ext>
          </c:extLst>
        </c:ser>
        <c:dLbls>
          <c:showLegendKey val="0"/>
          <c:showVal val="0"/>
          <c:showCatName val="0"/>
          <c:showSerName val="0"/>
          <c:showPercent val="0"/>
          <c:showBubbleSize val="0"/>
        </c:dLbls>
        <c:marker val="1"/>
        <c:smooth val="0"/>
        <c:axId val="476026064"/>
        <c:axId val="476025584"/>
      </c:lineChart>
      <c:catAx>
        <c:axId val="81956356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9564048"/>
        <c:crosses val="autoZero"/>
        <c:auto val="1"/>
        <c:lblAlgn val="ctr"/>
        <c:lblOffset val="100"/>
        <c:noMultiLvlLbl val="0"/>
      </c:catAx>
      <c:valAx>
        <c:axId val="819564048"/>
        <c:scaling>
          <c:orientation val="minMax"/>
          <c:max val="90000"/>
          <c:min val="3000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9563568"/>
        <c:crosses val="autoZero"/>
        <c:crossBetween val="between"/>
      </c:valAx>
      <c:valAx>
        <c:axId val="476025584"/>
        <c:scaling>
          <c:orientation val="minMax"/>
          <c:max val="16"/>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026064"/>
        <c:crosses val="max"/>
        <c:crossBetween val="between"/>
      </c:valAx>
      <c:catAx>
        <c:axId val="476026064"/>
        <c:scaling>
          <c:orientation val="minMax"/>
        </c:scaling>
        <c:delete val="1"/>
        <c:axPos val="b"/>
        <c:majorTickMark val="out"/>
        <c:minorTickMark val="none"/>
        <c:tickLblPos val="nextTo"/>
        <c:crossAx val="4760255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STL.</a:t>
            </a:r>
            <a:r>
              <a:rPr lang="en-US" baseline="0"/>
              <a:t> / LA Rams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2"/>
          <c:order val="2"/>
          <c:tx>
            <c:strRef>
              <c:f>'Raw Data.All_AUX'!$J$1</c:f>
              <c:strCache>
                <c:ptCount val="1"/>
                <c:pt idx="0">
                  <c:v>Post Season Performance</c:v>
                </c:pt>
              </c:strCache>
            </c:strRef>
          </c:tx>
          <c:spPr>
            <a:solidFill>
              <a:schemeClr val="accent4"/>
            </a:solidFill>
            <a:ln>
              <a:noFill/>
            </a:ln>
            <a:effectLst/>
          </c:spPr>
          <c:val>
            <c:numRef>
              <c:f>'Raw Data.All_AUX'!$J$2:$J$24</c:f>
              <c:numCache>
                <c:formatCode>General</c:formatCode>
                <c:ptCount val="23"/>
                <c:pt idx="0">
                  <c:v>0</c:v>
                </c:pt>
                <c:pt idx="1">
                  <c:v>1</c:v>
                </c:pt>
                <c:pt idx="2">
                  <c:v>0</c:v>
                </c:pt>
                <c:pt idx="3">
                  <c:v>1</c:v>
                </c:pt>
                <c:pt idx="4">
                  <c:v>1</c:v>
                </c:pt>
                <c:pt idx="5">
                  <c:v>0</c:v>
                </c:pt>
                <c:pt idx="6">
                  <c:v>0</c:v>
                </c:pt>
                <c:pt idx="7">
                  <c:v>0</c:v>
                </c:pt>
                <c:pt idx="8">
                  <c:v>0</c:v>
                </c:pt>
                <c:pt idx="9">
                  <c:v>0</c:v>
                </c:pt>
                <c:pt idx="10">
                  <c:v>0</c:v>
                </c:pt>
                <c:pt idx="11">
                  <c:v>0</c:v>
                </c:pt>
                <c:pt idx="12">
                  <c:v>0</c:v>
                </c:pt>
                <c:pt idx="13">
                  <c:v>0</c:v>
                </c:pt>
                <c:pt idx="14">
                  <c:v>0</c:v>
                </c:pt>
                <c:pt idx="15">
                  <c:v>0</c:v>
                </c:pt>
                <c:pt idx="16">
                  <c:v>0</c:v>
                </c:pt>
                <c:pt idx="17">
                  <c:v>1</c:v>
                </c:pt>
                <c:pt idx="18">
                  <c:v>1</c:v>
                </c:pt>
                <c:pt idx="19">
                  <c:v>0</c:v>
                </c:pt>
              </c:numCache>
            </c:numRef>
          </c:val>
          <c:extLst>
            <c:ext xmlns:c16="http://schemas.microsoft.com/office/drawing/2014/chart" uri="{C3380CC4-5D6E-409C-BE32-E72D297353CC}">
              <c16:uniqueId val="{00000000-07F4-43CF-9D75-B2A71B490285}"/>
            </c:ext>
          </c:extLst>
        </c:ser>
        <c:dLbls>
          <c:showLegendKey val="0"/>
          <c:showVal val="0"/>
          <c:showCatName val="0"/>
          <c:showSerName val="0"/>
          <c:showPercent val="0"/>
          <c:showBubbleSize val="0"/>
        </c:dLbls>
        <c:axId val="459883776"/>
        <c:axId val="442330608"/>
      </c:areaChart>
      <c:barChart>
        <c:barDir val="col"/>
        <c:grouping val="clustered"/>
        <c:varyColors val="0"/>
        <c:ser>
          <c:idx val="0"/>
          <c:order val="0"/>
          <c:tx>
            <c:strRef>
              <c:f>'Raw Data.All_AUX'!$H$1</c:f>
              <c:strCache>
                <c:ptCount val="1"/>
                <c:pt idx="0">
                  <c:v>LA STL Rams</c:v>
                </c:pt>
              </c:strCache>
            </c:strRef>
          </c:tx>
          <c:spPr>
            <a:solidFill>
              <a:schemeClr val="accent1"/>
            </a:solidFill>
            <a:ln>
              <a:noFill/>
            </a:ln>
            <a:effectLst/>
          </c:spPr>
          <c:invertIfNegative val="0"/>
          <c:val>
            <c:numRef>
              <c:f>'Raw Data.All_AUX'!$H$2:$H$24</c:f>
              <c:numCache>
                <c:formatCode>0.00</c:formatCode>
                <c:ptCount val="23"/>
                <c:pt idx="0">
                  <c:v>66050.25</c:v>
                </c:pt>
                <c:pt idx="1">
                  <c:v>66103.625</c:v>
                </c:pt>
                <c:pt idx="2">
                  <c:v>66062.25</c:v>
                </c:pt>
                <c:pt idx="3">
                  <c:v>66057</c:v>
                </c:pt>
                <c:pt idx="4">
                  <c:v>65923</c:v>
                </c:pt>
                <c:pt idx="5">
                  <c:v>65460.625</c:v>
                </c:pt>
                <c:pt idx="6">
                  <c:v>65326.25</c:v>
                </c:pt>
                <c:pt idx="7">
                  <c:v>64294.25</c:v>
                </c:pt>
                <c:pt idx="8">
                  <c:v>59980.375</c:v>
                </c:pt>
                <c:pt idx="9">
                  <c:v>55237.625</c:v>
                </c:pt>
                <c:pt idx="10">
                  <c:v>52922.875</c:v>
                </c:pt>
                <c:pt idx="11">
                  <c:v>56394.125</c:v>
                </c:pt>
                <c:pt idx="12">
                  <c:v>57616.125</c:v>
                </c:pt>
                <c:pt idx="13">
                  <c:v>56957.125</c:v>
                </c:pt>
                <c:pt idx="14">
                  <c:v>57018.25</c:v>
                </c:pt>
                <c:pt idx="15">
                  <c:v>52402.5</c:v>
                </c:pt>
                <c:pt idx="16">
                  <c:v>83164.75</c:v>
                </c:pt>
                <c:pt idx="17">
                  <c:v>63392</c:v>
                </c:pt>
                <c:pt idx="18">
                  <c:v>72429.875</c:v>
                </c:pt>
                <c:pt idx="19">
                  <c:v>72790.625</c:v>
                </c:pt>
                <c:pt idx="20">
                  <c:v>69537.5</c:v>
                </c:pt>
                <c:pt idx="21">
                  <c:v>71586</c:v>
                </c:pt>
                <c:pt idx="22">
                  <c:v>71304.708333333328</c:v>
                </c:pt>
              </c:numCache>
            </c:numRef>
          </c:val>
          <c:extLst>
            <c:ext xmlns:c16="http://schemas.microsoft.com/office/drawing/2014/chart" uri="{C3380CC4-5D6E-409C-BE32-E72D297353CC}">
              <c16:uniqueId val="{00000001-07F4-43CF-9D75-B2A71B490285}"/>
            </c:ext>
          </c:extLst>
        </c:ser>
        <c:dLbls>
          <c:showLegendKey val="0"/>
          <c:showVal val="0"/>
          <c:showCatName val="0"/>
          <c:showSerName val="0"/>
          <c:showPercent val="0"/>
          <c:showBubbleSize val="0"/>
        </c:dLbls>
        <c:gapWidth val="219"/>
        <c:axId val="315503376"/>
        <c:axId val="315504336"/>
      </c:barChart>
      <c:lineChart>
        <c:grouping val="standard"/>
        <c:varyColors val="0"/>
        <c:ser>
          <c:idx val="1"/>
          <c:order val="1"/>
          <c:tx>
            <c:strRef>
              <c:f>'Raw Data.All_AUX'!$I$1</c:f>
              <c:strCache>
                <c:ptCount val="1"/>
                <c:pt idx="0">
                  <c:v>WINS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'Raw Data.All_AUX'!$I$2:$I$24</c:f>
              <c:numCache>
                <c:formatCode>General</c:formatCode>
                <c:ptCount val="23"/>
                <c:pt idx="0">
                  <c:v>10</c:v>
                </c:pt>
                <c:pt idx="1">
                  <c:v>14</c:v>
                </c:pt>
                <c:pt idx="2">
                  <c:v>7</c:v>
                </c:pt>
                <c:pt idx="3">
                  <c:v>12</c:v>
                </c:pt>
                <c:pt idx="4">
                  <c:v>8</c:v>
                </c:pt>
                <c:pt idx="5">
                  <c:v>6</c:v>
                </c:pt>
                <c:pt idx="6">
                  <c:v>8</c:v>
                </c:pt>
                <c:pt idx="7">
                  <c:v>3</c:v>
                </c:pt>
                <c:pt idx="8">
                  <c:v>2</c:v>
                </c:pt>
                <c:pt idx="9">
                  <c:v>1</c:v>
                </c:pt>
                <c:pt idx="10">
                  <c:v>7</c:v>
                </c:pt>
                <c:pt idx="11">
                  <c:v>2</c:v>
                </c:pt>
                <c:pt idx="12">
                  <c:v>7</c:v>
                </c:pt>
                <c:pt idx="13">
                  <c:v>7</c:v>
                </c:pt>
                <c:pt idx="14">
                  <c:v>6</c:v>
                </c:pt>
                <c:pt idx="15">
                  <c:v>7</c:v>
                </c:pt>
                <c:pt idx="16">
                  <c:v>4</c:v>
                </c:pt>
                <c:pt idx="17">
                  <c:v>11</c:v>
                </c:pt>
                <c:pt idx="18">
                  <c:v>13</c:v>
                </c:pt>
                <c:pt idx="19">
                  <c:v>9</c:v>
                </c:pt>
                <c:pt idx="20">
                  <c:v>11</c:v>
                </c:pt>
                <c:pt idx="21">
                  <c:v>11</c:v>
                </c:pt>
                <c:pt idx="22">
                  <c:v>10.333333333333334</c:v>
                </c:pt>
              </c:numCache>
            </c:numRef>
          </c:val>
          <c:smooth val="0"/>
          <c:extLst>
            <c:ext xmlns:c16="http://schemas.microsoft.com/office/drawing/2014/chart" uri="{C3380CC4-5D6E-409C-BE32-E72D297353CC}">
              <c16:uniqueId val="{00000002-07F4-43CF-9D75-B2A71B490285}"/>
            </c:ext>
          </c:extLst>
        </c:ser>
        <c:dLbls>
          <c:showLegendKey val="0"/>
          <c:showVal val="0"/>
          <c:showCatName val="0"/>
          <c:showSerName val="0"/>
          <c:showPercent val="0"/>
          <c:showBubbleSize val="0"/>
        </c:dLbls>
        <c:marker val="1"/>
        <c:smooth val="0"/>
        <c:axId val="459883776"/>
        <c:axId val="442330608"/>
      </c:lineChart>
      <c:catAx>
        <c:axId val="31550337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5504336"/>
        <c:crosses val="autoZero"/>
        <c:auto val="1"/>
        <c:lblAlgn val="ctr"/>
        <c:lblOffset val="100"/>
        <c:noMultiLvlLbl val="0"/>
      </c:catAx>
      <c:valAx>
        <c:axId val="315504336"/>
        <c:scaling>
          <c:orientation val="minMax"/>
          <c:max val="90000"/>
          <c:min val="3000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5503376"/>
        <c:crosses val="autoZero"/>
        <c:crossBetween val="between"/>
      </c:valAx>
      <c:valAx>
        <c:axId val="442330608"/>
        <c:scaling>
          <c:orientation val="minMax"/>
          <c:max val="16"/>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9883776"/>
        <c:crosses val="max"/>
        <c:crossBetween val="between"/>
      </c:valAx>
      <c:catAx>
        <c:axId val="459883776"/>
        <c:scaling>
          <c:orientation val="minMax"/>
        </c:scaling>
        <c:delete val="1"/>
        <c:axPos val="b"/>
        <c:majorTickMark val="out"/>
        <c:minorTickMark val="none"/>
        <c:tickLblPos val="nextTo"/>
        <c:crossAx val="44233060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San</a:t>
            </a:r>
            <a:r>
              <a:rPr lang="en-US" baseline="0"/>
              <a:t> Francisco 49ers 2000-2019</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2"/>
          <c:order val="2"/>
          <c:tx>
            <c:strRef>
              <c:f>'Raw Data.All_AUX'!$M$1</c:f>
              <c:strCache>
                <c:ptCount val="1"/>
                <c:pt idx="0">
                  <c:v>Post Season Performance</c:v>
                </c:pt>
              </c:strCache>
            </c:strRef>
          </c:tx>
          <c:spPr>
            <a:solidFill>
              <a:schemeClr val="accent4"/>
            </a:solidFill>
            <a:ln>
              <a:noFill/>
            </a:ln>
            <a:effectLst/>
          </c:spPr>
          <c:val>
            <c:numRef>
              <c:f>'Raw Data.All_AUX'!$M$2:$M$24</c:f>
              <c:numCache>
                <c:formatCode>General</c:formatCode>
                <c:ptCount val="23"/>
                <c:pt idx="0">
                  <c:v>0</c:v>
                </c:pt>
                <c:pt idx="1">
                  <c:v>1</c:v>
                </c:pt>
                <c:pt idx="2">
                  <c:v>1</c:v>
                </c:pt>
                <c:pt idx="3">
                  <c:v>0</c:v>
                </c:pt>
                <c:pt idx="4">
                  <c:v>0</c:v>
                </c:pt>
                <c:pt idx="5">
                  <c:v>0</c:v>
                </c:pt>
                <c:pt idx="6">
                  <c:v>0</c:v>
                </c:pt>
                <c:pt idx="7">
                  <c:v>0</c:v>
                </c:pt>
                <c:pt idx="8">
                  <c:v>0</c:v>
                </c:pt>
                <c:pt idx="9">
                  <c:v>0</c:v>
                </c:pt>
                <c:pt idx="10">
                  <c:v>0</c:v>
                </c:pt>
                <c:pt idx="11">
                  <c:v>1</c:v>
                </c:pt>
                <c:pt idx="12">
                  <c:v>1</c:v>
                </c:pt>
                <c:pt idx="13">
                  <c:v>1</c:v>
                </c:pt>
                <c:pt idx="14">
                  <c:v>0</c:v>
                </c:pt>
                <c:pt idx="15">
                  <c:v>0</c:v>
                </c:pt>
                <c:pt idx="16">
                  <c:v>0</c:v>
                </c:pt>
                <c:pt idx="17">
                  <c:v>0</c:v>
                </c:pt>
                <c:pt idx="18">
                  <c:v>0</c:v>
                </c:pt>
                <c:pt idx="19">
                  <c:v>1</c:v>
                </c:pt>
              </c:numCache>
            </c:numRef>
          </c:val>
          <c:extLst>
            <c:ext xmlns:c16="http://schemas.microsoft.com/office/drawing/2014/chart" uri="{C3380CC4-5D6E-409C-BE32-E72D297353CC}">
              <c16:uniqueId val="{00000000-949E-4368-89C0-3BCAE052965E}"/>
            </c:ext>
          </c:extLst>
        </c:ser>
        <c:dLbls>
          <c:showLegendKey val="0"/>
          <c:showVal val="0"/>
          <c:showCatName val="0"/>
          <c:showSerName val="0"/>
          <c:showPercent val="0"/>
          <c:showBubbleSize val="0"/>
        </c:dLbls>
        <c:axId val="577898528"/>
        <c:axId val="459886176"/>
      </c:areaChart>
      <c:barChart>
        <c:barDir val="col"/>
        <c:grouping val="clustered"/>
        <c:varyColors val="0"/>
        <c:ser>
          <c:idx val="0"/>
          <c:order val="0"/>
          <c:tx>
            <c:strRef>
              <c:f>'Raw Data.All_AUX'!$K$1</c:f>
              <c:strCache>
                <c:ptCount val="1"/>
                <c:pt idx="0">
                  <c:v>SF 49ers</c:v>
                </c:pt>
              </c:strCache>
            </c:strRef>
          </c:tx>
          <c:spPr>
            <a:solidFill>
              <a:schemeClr val="accent1"/>
            </a:solidFill>
            <a:ln>
              <a:noFill/>
            </a:ln>
            <a:effectLst/>
          </c:spPr>
          <c:invertIfNegative val="0"/>
          <c:val>
            <c:numRef>
              <c:f>'Raw Data.All_AUX'!$K$2:$K$24</c:f>
              <c:numCache>
                <c:formatCode>0.00</c:formatCode>
                <c:ptCount val="23"/>
                <c:pt idx="0">
                  <c:v>67708.857142857145</c:v>
                </c:pt>
                <c:pt idx="1">
                  <c:v>67469.5</c:v>
                </c:pt>
                <c:pt idx="2">
                  <c:v>67699.125</c:v>
                </c:pt>
                <c:pt idx="3">
                  <c:v>67580.5</c:v>
                </c:pt>
                <c:pt idx="4">
                  <c:v>64783.875</c:v>
                </c:pt>
                <c:pt idx="5">
                  <c:v>65428.25</c:v>
                </c:pt>
                <c:pt idx="6">
                  <c:v>68150.875</c:v>
                </c:pt>
                <c:pt idx="7">
                  <c:v>68028.25</c:v>
                </c:pt>
                <c:pt idx="8">
                  <c:v>67512.875</c:v>
                </c:pt>
                <c:pt idx="9">
                  <c:v>69732</c:v>
                </c:pt>
                <c:pt idx="10">
                  <c:v>71508.125</c:v>
                </c:pt>
                <c:pt idx="11">
                  <c:v>69732</c:v>
                </c:pt>
                <c:pt idx="12">
                  <c:v>69732</c:v>
                </c:pt>
                <c:pt idx="13">
                  <c:v>69732</c:v>
                </c:pt>
                <c:pt idx="14">
                  <c:v>70774</c:v>
                </c:pt>
                <c:pt idx="15">
                  <c:v>70761.5</c:v>
                </c:pt>
                <c:pt idx="16">
                  <c:v>70178</c:v>
                </c:pt>
                <c:pt idx="17">
                  <c:v>70144.375</c:v>
                </c:pt>
                <c:pt idx="18">
                  <c:v>69148.75</c:v>
                </c:pt>
                <c:pt idx="19">
                  <c:v>70305.375</c:v>
                </c:pt>
                <c:pt idx="20">
                  <c:v>69866.166666666672</c:v>
                </c:pt>
                <c:pt idx="21">
                  <c:v>69773.430555555562</c:v>
                </c:pt>
                <c:pt idx="22">
                  <c:v>69981.657407407416</c:v>
                </c:pt>
              </c:numCache>
            </c:numRef>
          </c:val>
          <c:extLst>
            <c:ext xmlns:c16="http://schemas.microsoft.com/office/drawing/2014/chart" uri="{C3380CC4-5D6E-409C-BE32-E72D297353CC}">
              <c16:uniqueId val="{00000001-949E-4368-89C0-3BCAE052965E}"/>
            </c:ext>
          </c:extLst>
        </c:ser>
        <c:dLbls>
          <c:showLegendKey val="0"/>
          <c:showVal val="0"/>
          <c:showCatName val="0"/>
          <c:showSerName val="0"/>
          <c:showPercent val="0"/>
          <c:showBubbleSize val="0"/>
        </c:dLbls>
        <c:gapWidth val="219"/>
        <c:axId val="442330128"/>
        <c:axId val="442328208"/>
      </c:barChart>
      <c:lineChart>
        <c:grouping val="standard"/>
        <c:varyColors val="0"/>
        <c:ser>
          <c:idx val="1"/>
          <c:order val="1"/>
          <c:tx>
            <c:strRef>
              <c:f>'Raw Data.All_AUX'!$L$1</c:f>
              <c:strCache>
                <c:ptCount val="1"/>
                <c:pt idx="0">
                  <c:v>WINS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'Raw Data.All_AUX'!$L$2:$L$24</c:f>
              <c:numCache>
                <c:formatCode>General</c:formatCode>
                <c:ptCount val="23"/>
                <c:pt idx="0">
                  <c:v>6</c:v>
                </c:pt>
                <c:pt idx="1">
                  <c:v>12</c:v>
                </c:pt>
                <c:pt idx="2">
                  <c:v>10</c:v>
                </c:pt>
                <c:pt idx="3">
                  <c:v>7</c:v>
                </c:pt>
                <c:pt idx="4">
                  <c:v>2</c:v>
                </c:pt>
                <c:pt idx="5">
                  <c:v>4</c:v>
                </c:pt>
                <c:pt idx="6">
                  <c:v>7</c:v>
                </c:pt>
                <c:pt idx="7">
                  <c:v>5</c:v>
                </c:pt>
                <c:pt idx="8">
                  <c:v>7</c:v>
                </c:pt>
                <c:pt idx="9">
                  <c:v>8</c:v>
                </c:pt>
                <c:pt idx="10">
                  <c:v>6</c:v>
                </c:pt>
                <c:pt idx="11">
                  <c:v>13</c:v>
                </c:pt>
                <c:pt idx="12">
                  <c:v>11</c:v>
                </c:pt>
                <c:pt idx="13">
                  <c:v>12</c:v>
                </c:pt>
                <c:pt idx="14">
                  <c:v>8</c:v>
                </c:pt>
                <c:pt idx="15">
                  <c:v>5</c:v>
                </c:pt>
                <c:pt idx="16">
                  <c:v>2</c:v>
                </c:pt>
                <c:pt idx="17">
                  <c:v>6</c:v>
                </c:pt>
                <c:pt idx="18">
                  <c:v>4</c:v>
                </c:pt>
                <c:pt idx="19">
                  <c:v>13</c:v>
                </c:pt>
                <c:pt idx="20">
                  <c:v>7.666666666666667</c:v>
                </c:pt>
                <c:pt idx="21">
                  <c:v>8.2222222222222232</c:v>
                </c:pt>
                <c:pt idx="22">
                  <c:v>9.6296296296296315</c:v>
                </c:pt>
              </c:numCache>
            </c:numRef>
          </c:val>
          <c:smooth val="0"/>
          <c:extLst>
            <c:ext xmlns:c16="http://schemas.microsoft.com/office/drawing/2014/chart" uri="{C3380CC4-5D6E-409C-BE32-E72D297353CC}">
              <c16:uniqueId val="{00000002-949E-4368-89C0-3BCAE052965E}"/>
            </c:ext>
          </c:extLst>
        </c:ser>
        <c:dLbls>
          <c:showLegendKey val="0"/>
          <c:showVal val="0"/>
          <c:showCatName val="0"/>
          <c:showSerName val="0"/>
          <c:showPercent val="0"/>
          <c:showBubbleSize val="0"/>
        </c:dLbls>
        <c:marker val="1"/>
        <c:smooth val="0"/>
        <c:axId val="577898528"/>
        <c:axId val="459886176"/>
      </c:lineChart>
      <c:catAx>
        <c:axId val="4423301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328208"/>
        <c:crosses val="autoZero"/>
        <c:auto val="1"/>
        <c:lblAlgn val="ctr"/>
        <c:lblOffset val="100"/>
        <c:noMultiLvlLbl val="0"/>
      </c:catAx>
      <c:valAx>
        <c:axId val="442328208"/>
        <c:scaling>
          <c:orientation val="minMax"/>
          <c:max val="90000"/>
          <c:min val="3000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330128"/>
        <c:crosses val="autoZero"/>
        <c:crossBetween val="between"/>
      </c:valAx>
      <c:valAx>
        <c:axId val="459886176"/>
        <c:scaling>
          <c:orientation val="minMax"/>
          <c:max val="16"/>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898528"/>
        <c:crosses val="max"/>
        <c:crossBetween val="between"/>
      </c:valAx>
      <c:catAx>
        <c:axId val="577898528"/>
        <c:scaling>
          <c:orientation val="minMax"/>
        </c:scaling>
        <c:delete val="1"/>
        <c:axPos val="b"/>
        <c:majorTickMark val="out"/>
        <c:minorTickMark val="none"/>
        <c:tickLblPos val="nextTo"/>
        <c:crossAx val="45988617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20" Type="http://schemas.openxmlformats.org/officeDocument/2006/relationships/chart" Target="../charts/chart40.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19" Type="http://schemas.openxmlformats.org/officeDocument/2006/relationships/chart" Target="../charts/chart39.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3.xml.rels><?xml version="1.0" encoding="UTF-8" standalone="yes"?>
<Relationships xmlns="http://schemas.openxmlformats.org/package/2006/relationships"><Relationship Id="rId8" Type="http://schemas.openxmlformats.org/officeDocument/2006/relationships/chart" Target="../charts/chart48.xml"/><Relationship Id="rId13" Type="http://schemas.openxmlformats.org/officeDocument/2006/relationships/chart" Target="../charts/chart53.xml"/><Relationship Id="rId18" Type="http://schemas.openxmlformats.org/officeDocument/2006/relationships/chart" Target="../charts/chart58.xml"/><Relationship Id="rId3" Type="http://schemas.openxmlformats.org/officeDocument/2006/relationships/chart" Target="../charts/chart43.xml"/><Relationship Id="rId7" Type="http://schemas.openxmlformats.org/officeDocument/2006/relationships/chart" Target="../charts/chart47.xml"/><Relationship Id="rId12" Type="http://schemas.openxmlformats.org/officeDocument/2006/relationships/chart" Target="../charts/chart52.xml"/><Relationship Id="rId17" Type="http://schemas.openxmlformats.org/officeDocument/2006/relationships/chart" Target="../charts/chart57.xml"/><Relationship Id="rId2" Type="http://schemas.openxmlformats.org/officeDocument/2006/relationships/chart" Target="../charts/chart42.xml"/><Relationship Id="rId16" Type="http://schemas.openxmlformats.org/officeDocument/2006/relationships/chart" Target="../charts/chart56.xml"/><Relationship Id="rId20" Type="http://schemas.openxmlformats.org/officeDocument/2006/relationships/chart" Target="../charts/chart60.xml"/><Relationship Id="rId1" Type="http://schemas.openxmlformats.org/officeDocument/2006/relationships/chart" Target="../charts/chart41.xml"/><Relationship Id="rId6" Type="http://schemas.openxmlformats.org/officeDocument/2006/relationships/chart" Target="../charts/chart46.xml"/><Relationship Id="rId11" Type="http://schemas.openxmlformats.org/officeDocument/2006/relationships/chart" Target="../charts/chart51.xml"/><Relationship Id="rId5" Type="http://schemas.openxmlformats.org/officeDocument/2006/relationships/chart" Target="../charts/chart45.xml"/><Relationship Id="rId15" Type="http://schemas.openxmlformats.org/officeDocument/2006/relationships/chart" Target="../charts/chart55.xml"/><Relationship Id="rId10" Type="http://schemas.openxmlformats.org/officeDocument/2006/relationships/chart" Target="../charts/chart50.xml"/><Relationship Id="rId19" Type="http://schemas.openxmlformats.org/officeDocument/2006/relationships/chart" Target="../charts/chart59.xml"/><Relationship Id="rId4" Type="http://schemas.openxmlformats.org/officeDocument/2006/relationships/chart" Target="../charts/chart44.xml"/><Relationship Id="rId9" Type="http://schemas.openxmlformats.org/officeDocument/2006/relationships/chart" Target="../charts/chart49.xml"/><Relationship Id="rId14" Type="http://schemas.openxmlformats.org/officeDocument/2006/relationships/chart" Target="../charts/chart5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68.xml"/><Relationship Id="rId13" Type="http://schemas.openxmlformats.org/officeDocument/2006/relationships/chart" Target="../charts/chart73.xml"/><Relationship Id="rId18" Type="http://schemas.openxmlformats.org/officeDocument/2006/relationships/chart" Target="../charts/chart78.xml"/><Relationship Id="rId3" Type="http://schemas.openxmlformats.org/officeDocument/2006/relationships/chart" Target="../charts/chart63.xml"/><Relationship Id="rId7" Type="http://schemas.openxmlformats.org/officeDocument/2006/relationships/chart" Target="../charts/chart67.xml"/><Relationship Id="rId12" Type="http://schemas.openxmlformats.org/officeDocument/2006/relationships/chart" Target="../charts/chart72.xml"/><Relationship Id="rId17" Type="http://schemas.openxmlformats.org/officeDocument/2006/relationships/chart" Target="../charts/chart77.xml"/><Relationship Id="rId2" Type="http://schemas.openxmlformats.org/officeDocument/2006/relationships/chart" Target="../charts/chart62.xml"/><Relationship Id="rId16" Type="http://schemas.openxmlformats.org/officeDocument/2006/relationships/chart" Target="../charts/chart76.xml"/><Relationship Id="rId20" Type="http://schemas.openxmlformats.org/officeDocument/2006/relationships/chart" Target="../charts/chart80.xml"/><Relationship Id="rId1" Type="http://schemas.openxmlformats.org/officeDocument/2006/relationships/chart" Target="../charts/chart61.xml"/><Relationship Id="rId6" Type="http://schemas.openxmlformats.org/officeDocument/2006/relationships/chart" Target="../charts/chart66.xml"/><Relationship Id="rId11" Type="http://schemas.openxmlformats.org/officeDocument/2006/relationships/chart" Target="../charts/chart71.xml"/><Relationship Id="rId5" Type="http://schemas.openxmlformats.org/officeDocument/2006/relationships/chart" Target="../charts/chart65.xml"/><Relationship Id="rId15" Type="http://schemas.openxmlformats.org/officeDocument/2006/relationships/chart" Target="../charts/chart75.xml"/><Relationship Id="rId10" Type="http://schemas.openxmlformats.org/officeDocument/2006/relationships/chart" Target="../charts/chart70.xml"/><Relationship Id="rId19" Type="http://schemas.openxmlformats.org/officeDocument/2006/relationships/chart" Target="../charts/chart79.xml"/><Relationship Id="rId4" Type="http://schemas.openxmlformats.org/officeDocument/2006/relationships/chart" Target="../charts/chart64.xml"/><Relationship Id="rId9" Type="http://schemas.openxmlformats.org/officeDocument/2006/relationships/chart" Target="../charts/chart69.xml"/><Relationship Id="rId14" Type="http://schemas.openxmlformats.org/officeDocument/2006/relationships/chart" Target="../charts/chart7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8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4.xml"/></Relationships>
</file>

<file path=xl/drawings/drawing1.xml><?xml version="1.0" encoding="utf-8"?>
<xdr:wsDr xmlns:xdr="http://schemas.openxmlformats.org/drawingml/2006/spreadsheetDrawing" xmlns:a="http://schemas.openxmlformats.org/drawingml/2006/main">
  <xdr:twoCellAnchor>
    <xdr:from>
      <xdr:col>6</xdr:col>
      <xdr:colOff>43180</xdr:colOff>
      <xdr:row>2</xdr:row>
      <xdr:rowOff>40640</xdr:rowOff>
    </xdr:from>
    <xdr:to>
      <xdr:col>13</xdr:col>
      <xdr:colOff>525780</xdr:colOff>
      <xdr:row>17</xdr:row>
      <xdr:rowOff>40640</xdr:rowOff>
    </xdr:to>
    <xdr:graphicFrame macro="">
      <xdr:nvGraphicFramePr>
        <xdr:cNvPr id="2" name="Chart 14">
          <a:extLst>
            <a:ext uri="{FF2B5EF4-FFF2-40B4-BE49-F238E27FC236}">
              <a16:creationId xmlns:a16="http://schemas.microsoft.com/office/drawing/2014/main" id="{913A8589-4EF4-69D2-44B9-AA28492DC5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140970</xdr:colOff>
      <xdr:row>18</xdr:row>
      <xdr:rowOff>100330</xdr:rowOff>
    </xdr:from>
    <xdr:to>
      <xdr:col>13</xdr:col>
      <xdr:colOff>445770</xdr:colOff>
      <xdr:row>33</xdr:row>
      <xdr:rowOff>100330</xdr:rowOff>
    </xdr:to>
    <xdr:graphicFrame macro="">
      <xdr:nvGraphicFramePr>
        <xdr:cNvPr id="3" name="Chart 15">
          <a:extLst>
            <a:ext uri="{FF2B5EF4-FFF2-40B4-BE49-F238E27FC236}">
              <a16:creationId xmlns:a16="http://schemas.microsoft.com/office/drawing/2014/main" id="{3E24B18C-AA0A-AE62-841F-8656266186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85725</xdr:colOff>
      <xdr:row>36</xdr:row>
      <xdr:rowOff>171450</xdr:rowOff>
    </xdr:from>
    <xdr:to>
      <xdr:col>13</xdr:col>
      <xdr:colOff>295275</xdr:colOff>
      <xdr:row>53</xdr:row>
      <xdr:rowOff>9525</xdr:rowOff>
    </xdr:to>
    <xdr:graphicFrame macro="">
      <xdr:nvGraphicFramePr>
        <xdr:cNvPr id="4" name="Chart 16">
          <a:extLst>
            <a:ext uri="{FF2B5EF4-FFF2-40B4-BE49-F238E27FC236}">
              <a16:creationId xmlns:a16="http://schemas.microsoft.com/office/drawing/2014/main" id="{4126CFFC-D089-94D4-6E9C-AE47F5D9B968}"/>
            </a:ext>
            <a:ext uri="{147F2762-F138-4A5C-976F-8EAC2B608ADB}">
              <a16:predDERef xmlns:a16="http://schemas.microsoft.com/office/drawing/2014/main" pred="{3E24B18C-AA0A-AE62-841F-8656266186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76200</xdr:colOff>
      <xdr:row>55</xdr:row>
      <xdr:rowOff>66675</xdr:rowOff>
    </xdr:from>
    <xdr:to>
      <xdr:col>13</xdr:col>
      <xdr:colOff>295275</xdr:colOff>
      <xdr:row>70</xdr:row>
      <xdr:rowOff>161925</xdr:rowOff>
    </xdr:to>
    <xdr:graphicFrame macro="">
      <xdr:nvGraphicFramePr>
        <xdr:cNvPr id="5" name="Chart 17">
          <a:extLst>
            <a:ext uri="{FF2B5EF4-FFF2-40B4-BE49-F238E27FC236}">
              <a16:creationId xmlns:a16="http://schemas.microsoft.com/office/drawing/2014/main" id="{823EE218-345B-4A7B-5AE6-60AC6B6BE6AD}"/>
            </a:ext>
            <a:ext uri="{147F2762-F138-4A5C-976F-8EAC2B608ADB}">
              <a16:predDERef xmlns:a16="http://schemas.microsoft.com/office/drawing/2014/main" pred="{4126CFFC-D089-94D4-6E9C-AE47F5D9B9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133350</xdr:colOff>
      <xdr:row>73</xdr:row>
      <xdr:rowOff>66675</xdr:rowOff>
    </xdr:from>
    <xdr:to>
      <xdr:col>13</xdr:col>
      <xdr:colOff>295275</xdr:colOff>
      <xdr:row>89</xdr:row>
      <xdr:rowOff>0</xdr:rowOff>
    </xdr:to>
    <xdr:graphicFrame macro="">
      <xdr:nvGraphicFramePr>
        <xdr:cNvPr id="6" name="Chart 18">
          <a:extLst>
            <a:ext uri="{FF2B5EF4-FFF2-40B4-BE49-F238E27FC236}">
              <a16:creationId xmlns:a16="http://schemas.microsoft.com/office/drawing/2014/main" id="{CD29170B-C24B-D9C5-365C-1B8F10E22DCB}"/>
            </a:ext>
            <a:ext uri="{147F2762-F138-4A5C-976F-8EAC2B608ADB}">
              <a16:predDERef xmlns:a16="http://schemas.microsoft.com/office/drawing/2014/main" pred="{823EE218-345B-4A7B-5AE6-60AC6B6BE6A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95250</xdr:colOff>
      <xdr:row>91</xdr:row>
      <xdr:rowOff>76200</xdr:rowOff>
    </xdr:from>
    <xdr:to>
      <xdr:col>13</xdr:col>
      <xdr:colOff>295275</xdr:colOff>
      <xdr:row>106</xdr:row>
      <xdr:rowOff>171450</xdr:rowOff>
    </xdr:to>
    <xdr:graphicFrame macro="">
      <xdr:nvGraphicFramePr>
        <xdr:cNvPr id="7" name="Chart 19">
          <a:extLst>
            <a:ext uri="{FF2B5EF4-FFF2-40B4-BE49-F238E27FC236}">
              <a16:creationId xmlns:a16="http://schemas.microsoft.com/office/drawing/2014/main" id="{43EFEFED-0B10-A525-DA09-78CCA44BA37D}"/>
            </a:ext>
            <a:ext uri="{147F2762-F138-4A5C-976F-8EAC2B608ADB}">
              <a16:predDERef xmlns:a16="http://schemas.microsoft.com/office/drawing/2014/main" pred="{CD29170B-C24B-D9C5-365C-1B8F10E22D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0</xdr:colOff>
      <xdr:row>109</xdr:row>
      <xdr:rowOff>179070</xdr:rowOff>
    </xdr:from>
    <xdr:to>
      <xdr:col>13</xdr:col>
      <xdr:colOff>304800</xdr:colOff>
      <xdr:row>124</xdr:row>
      <xdr:rowOff>179070</xdr:rowOff>
    </xdr:to>
    <xdr:graphicFrame macro="">
      <xdr:nvGraphicFramePr>
        <xdr:cNvPr id="21" name="Chart 20">
          <a:extLst>
            <a:ext uri="{FF2B5EF4-FFF2-40B4-BE49-F238E27FC236}">
              <a16:creationId xmlns:a16="http://schemas.microsoft.com/office/drawing/2014/main" id="{0F662CFB-7933-38AD-7056-8BC2D4B4B9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7620</xdr:colOff>
      <xdr:row>127</xdr:row>
      <xdr:rowOff>163830</xdr:rowOff>
    </xdr:from>
    <xdr:to>
      <xdr:col>13</xdr:col>
      <xdr:colOff>312420</xdr:colOff>
      <xdr:row>142</xdr:row>
      <xdr:rowOff>163830</xdr:rowOff>
    </xdr:to>
    <xdr:graphicFrame macro="">
      <xdr:nvGraphicFramePr>
        <xdr:cNvPr id="22" name="Chart 21">
          <a:extLst>
            <a:ext uri="{FF2B5EF4-FFF2-40B4-BE49-F238E27FC236}">
              <a16:creationId xmlns:a16="http://schemas.microsoft.com/office/drawing/2014/main" id="{3E5273B5-52BE-F847-B208-7F7630B4F4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0</xdr:colOff>
      <xdr:row>145</xdr:row>
      <xdr:rowOff>171450</xdr:rowOff>
    </xdr:from>
    <xdr:to>
      <xdr:col>13</xdr:col>
      <xdr:colOff>304800</xdr:colOff>
      <xdr:row>160</xdr:row>
      <xdr:rowOff>171450</xdr:rowOff>
    </xdr:to>
    <xdr:graphicFrame macro="">
      <xdr:nvGraphicFramePr>
        <xdr:cNvPr id="23" name="Chart 22">
          <a:extLst>
            <a:ext uri="{FF2B5EF4-FFF2-40B4-BE49-F238E27FC236}">
              <a16:creationId xmlns:a16="http://schemas.microsoft.com/office/drawing/2014/main" id="{606AC765-53D9-25FF-379C-0C45291060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15240</xdr:colOff>
      <xdr:row>164</xdr:row>
      <xdr:rowOff>3810</xdr:rowOff>
    </xdr:from>
    <xdr:to>
      <xdr:col>13</xdr:col>
      <xdr:colOff>320040</xdr:colOff>
      <xdr:row>179</xdr:row>
      <xdr:rowOff>3810</xdr:rowOff>
    </xdr:to>
    <xdr:graphicFrame macro="">
      <xdr:nvGraphicFramePr>
        <xdr:cNvPr id="24" name="Chart 23">
          <a:extLst>
            <a:ext uri="{FF2B5EF4-FFF2-40B4-BE49-F238E27FC236}">
              <a16:creationId xmlns:a16="http://schemas.microsoft.com/office/drawing/2014/main" id="{AAC502D4-5770-A440-F732-5BC87025C2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601980</xdr:colOff>
      <xdr:row>182</xdr:row>
      <xdr:rowOff>11430</xdr:rowOff>
    </xdr:from>
    <xdr:to>
      <xdr:col>13</xdr:col>
      <xdr:colOff>297180</xdr:colOff>
      <xdr:row>197</xdr:row>
      <xdr:rowOff>11430</xdr:rowOff>
    </xdr:to>
    <xdr:graphicFrame macro="">
      <xdr:nvGraphicFramePr>
        <xdr:cNvPr id="25" name="Chart 24">
          <a:extLst>
            <a:ext uri="{FF2B5EF4-FFF2-40B4-BE49-F238E27FC236}">
              <a16:creationId xmlns:a16="http://schemas.microsoft.com/office/drawing/2014/main" id="{23AC1AE8-3910-B8BF-F1E3-82BCCEBE95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xdr:col>
      <xdr:colOff>28575</xdr:colOff>
      <xdr:row>199</xdr:row>
      <xdr:rowOff>133350</xdr:rowOff>
    </xdr:from>
    <xdr:to>
      <xdr:col>13</xdr:col>
      <xdr:colOff>295275</xdr:colOff>
      <xdr:row>215</xdr:row>
      <xdr:rowOff>0</xdr:rowOff>
    </xdr:to>
    <xdr:graphicFrame macro="">
      <xdr:nvGraphicFramePr>
        <xdr:cNvPr id="8" name="Chart 25">
          <a:extLst>
            <a:ext uri="{FF2B5EF4-FFF2-40B4-BE49-F238E27FC236}">
              <a16:creationId xmlns:a16="http://schemas.microsoft.com/office/drawing/2014/main" id="{38B86447-7043-A73B-A142-ABDC00027CC3}"/>
            </a:ext>
            <a:ext uri="{147F2762-F138-4A5C-976F-8EAC2B608ADB}">
              <a16:predDERef xmlns:a16="http://schemas.microsoft.com/office/drawing/2014/main" pred="{23AC1AE8-3910-B8BF-F1E3-82BCCEBE95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6</xdr:col>
      <xdr:colOff>114300</xdr:colOff>
      <xdr:row>218</xdr:row>
      <xdr:rowOff>9525</xdr:rowOff>
    </xdr:from>
    <xdr:to>
      <xdr:col>13</xdr:col>
      <xdr:colOff>285750</xdr:colOff>
      <xdr:row>233</xdr:row>
      <xdr:rowOff>0</xdr:rowOff>
    </xdr:to>
    <xdr:graphicFrame macro="">
      <xdr:nvGraphicFramePr>
        <xdr:cNvPr id="9" name="Chart 26">
          <a:extLst>
            <a:ext uri="{FF2B5EF4-FFF2-40B4-BE49-F238E27FC236}">
              <a16:creationId xmlns:a16="http://schemas.microsoft.com/office/drawing/2014/main" id="{0C7903C6-B88E-C3E8-ADD0-053BDE4CEEFE}"/>
            </a:ext>
            <a:ext uri="{147F2762-F138-4A5C-976F-8EAC2B608ADB}">
              <a16:predDERef xmlns:a16="http://schemas.microsoft.com/office/drawing/2014/main" pred="{38B86447-7043-A73B-A142-ABDC00027C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19050</xdr:colOff>
      <xdr:row>235</xdr:row>
      <xdr:rowOff>76200</xdr:rowOff>
    </xdr:from>
    <xdr:to>
      <xdr:col>13</xdr:col>
      <xdr:colOff>295275</xdr:colOff>
      <xdr:row>250</xdr:row>
      <xdr:rowOff>171450</xdr:rowOff>
    </xdr:to>
    <xdr:graphicFrame macro="">
      <xdr:nvGraphicFramePr>
        <xdr:cNvPr id="10" name="Chart 27">
          <a:extLst>
            <a:ext uri="{FF2B5EF4-FFF2-40B4-BE49-F238E27FC236}">
              <a16:creationId xmlns:a16="http://schemas.microsoft.com/office/drawing/2014/main" id="{0FA2C712-FCE7-16C6-7EC8-0D404505A475}"/>
            </a:ext>
            <a:ext uri="{147F2762-F138-4A5C-976F-8EAC2B608ADB}">
              <a16:predDERef xmlns:a16="http://schemas.microsoft.com/office/drawing/2014/main" pred="{0C7903C6-B88E-C3E8-ADD0-053BDE4CEE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6</xdr:col>
      <xdr:colOff>28575</xdr:colOff>
      <xdr:row>252</xdr:row>
      <xdr:rowOff>171450</xdr:rowOff>
    </xdr:from>
    <xdr:to>
      <xdr:col>13</xdr:col>
      <xdr:colOff>285750</xdr:colOff>
      <xdr:row>268</xdr:row>
      <xdr:rowOff>152400</xdr:rowOff>
    </xdr:to>
    <xdr:graphicFrame macro="">
      <xdr:nvGraphicFramePr>
        <xdr:cNvPr id="11" name="Chart 28">
          <a:extLst>
            <a:ext uri="{FF2B5EF4-FFF2-40B4-BE49-F238E27FC236}">
              <a16:creationId xmlns:a16="http://schemas.microsoft.com/office/drawing/2014/main" id="{91305537-75D9-46E6-DA67-5CE2DAD69BFB}"/>
            </a:ext>
            <a:ext uri="{147F2762-F138-4A5C-976F-8EAC2B608ADB}">
              <a16:predDERef xmlns:a16="http://schemas.microsoft.com/office/drawing/2014/main" pred="{0FA2C712-FCE7-16C6-7EC8-0D404505A4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6</xdr:col>
      <xdr:colOff>15240</xdr:colOff>
      <xdr:row>271</xdr:row>
      <xdr:rowOff>179070</xdr:rowOff>
    </xdr:from>
    <xdr:to>
      <xdr:col>13</xdr:col>
      <xdr:colOff>320040</xdr:colOff>
      <xdr:row>286</xdr:row>
      <xdr:rowOff>179070</xdr:rowOff>
    </xdr:to>
    <xdr:graphicFrame macro="">
      <xdr:nvGraphicFramePr>
        <xdr:cNvPr id="30" name="Chart 29">
          <a:extLst>
            <a:ext uri="{FF2B5EF4-FFF2-40B4-BE49-F238E27FC236}">
              <a16:creationId xmlns:a16="http://schemas.microsoft.com/office/drawing/2014/main" id="{C544D19B-2841-12CD-25CD-52E5F29838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6</xdr:col>
      <xdr:colOff>85725</xdr:colOff>
      <xdr:row>289</xdr:row>
      <xdr:rowOff>104775</xdr:rowOff>
    </xdr:from>
    <xdr:to>
      <xdr:col>13</xdr:col>
      <xdr:colOff>295275</xdr:colOff>
      <xdr:row>304</xdr:row>
      <xdr:rowOff>171450</xdr:rowOff>
    </xdr:to>
    <xdr:graphicFrame macro="">
      <xdr:nvGraphicFramePr>
        <xdr:cNvPr id="12" name="Chart 30">
          <a:extLst>
            <a:ext uri="{FF2B5EF4-FFF2-40B4-BE49-F238E27FC236}">
              <a16:creationId xmlns:a16="http://schemas.microsoft.com/office/drawing/2014/main" id="{38D54D4D-77F4-5491-85C5-9492CDFF069C}"/>
            </a:ext>
            <a:ext uri="{147F2762-F138-4A5C-976F-8EAC2B608ADB}">
              <a16:predDERef xmlns:a16="http://schemas.microsoft.com/office/drawing/2014/main" pred="{C544D19B-2841-12CD-25CD-52E5F29838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6</xdr:col>
      <xdr:colOff>0</xdr:colOff>
      <xdr:row>307</xdr:row>
      <xdr:rowOff>163830</xdr:rowOff>
    </xdr:from>
    <xdr:to>
      <xdr:col>13</xdr:col>
      <xdr:colOff>304800</xdr:colOff>
      <xdr:row>322</xdr:row>
      <xdr:rowOff>163830</xdr:rowOff>
    </xdr:to>
    <xdr:graphicFrame macro="">
      <xdr:nvGraphicFramePr>
        <xdr:cNvPr id="32" name="Chart 31">
          <a:extLst>
            <a:ext uri="{FF2B5EF4-FFF2-40B4-BE49-F238E27FC236}">
              <a16:creationId xmlns:a16="http://schemas.microsoft.com/office/drawing/2014/main" id="{3D22AA5D-EED3-364C-32C0-36EE4A781B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xdr:col>
      <xdr:colOff>7620</xdr:colOff>
      <xdr:row>326</xdr:row>
      <xdr:rowOff>3810</xdr:rowOff>
    </xdr:from>
    <xdr:to>
      <xdr:col>13</xdr:col>
      <xdr:colOff>312420</xdr:colOff>
      <xdr:row>341</xdr:row>
      <xdr:rowOff>3810</xdr:rowOff>
    </xdr:to>
    <xdr:graphicFrame macro="">
      <xdr:nvGraphicFramePr>
        <xdr:cNvPr id="33" name="Chart 32">
          <a:extLst>
            <a:ext uri="{FF2B5EF4-FFF2-40B4-BE49-F238E27FC236}">
              <a16:creationId xmlns:a16="http://schemas.microsoft.com/office/drawing/2014/main" id="{B13B72E3-E2C8-E061-0724-DA60B2ECE3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xdr:col>
      <xdr:colOff>19050</xdr:colOff>
      <xdr:row>343</xdr:row>
      <xdr:rowOff>123825</xdr:rowOff>
    </xdr:from>
    <xdr:to>
      <xdr:col>13</xdr:col>
      <xdr:colOff>295275</xdr:colOff>
      <xdr:row>358</xdr:row>
      <xdr:rowOff>161925</xdr:rowOff>
    </xdr:to>
    <xdr:graphicFrame macro="">
      <xdr:nvGraphicFramePr>
        <xdr:cNvPr id="13" name="Chart 33">
          <a:extLst>
            <a:ext uri="{FF2B5EF4-FFF2-40B4-BE49-F238E27FC236}">
              <a16:creationId xmlns:a16="http://schemas.microsoft.com/office/drawing/2014/main" id="{595EA8F5-FD91-C323-D7E5-7853B9634135}"/>
            </a:ext>
            <a:ext uri="{147F2762-F138-4A5C-976F-8EAC2B608ADB}">
              <a16:predDERef xmlns:a16="http://schemas.microsoft.com/office/drawing/2014/main" pred="{B13B72E3-E2C8-E061-0724-DA60B2ECE3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142875</xdr:colOff>
      <xdr:row>2</xdr:row>
      <xdr:rowOff>0</xdr:rowOff>
    </xdr:from>
    <xdr:to>
      <xdr:col>13</xdr:col>
      <xdr:colOff>514350</xdr:colOff>
      <xdr:row>16</xdr:row>
      <xdr:rowOff>28575</xdr:rowOff>
    </xdr:to>
    <xdr:graphicFrame macro="">
      <xdr:nvGraphicFramePr>
        <xdr:cNvPr id="39" name="Chart 1">
          <a:extLst>
            <a:ext uri="{FF2B5EF4-FFF2-40B4-BE49-F238E27FC236}">
              <a16:creationId xmlns:a16="http://schemas.microsoft.com/office/drawing/2014/main" id="{24188CFD-C322-0553-E322-759A742A33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152400</xdr:colOff>
      <xdr:row>18</xdr:row>
      <xdr:rowOff>161925</xdr:rowOff>
    </xdr:from>
    <xdr:to>
      <xdr:col>13</xdr:col>
      <xdr:colOff>419100</xdr:colOff>
      <xdr:row>33</xdr:row>
      <xdr:rowOff>161925</xdr:rowOff>
    </xdr:to>
    <xdr:graphicFrame macro="">
      <xdr:nvGraphicFramePr>
        <xdr:cNvPr id="28" name="Chart 2">
          <a:extLst>
            <a:ext uri="{FF2B5EF4-FFF2-40B4-BE49-F238E27FC236}">
              <a16:creationId xmlns:a16="http://schemas.microsoft.com/office/drawing/2014/main" id="{2898E2C4-5F14-D617-4296-7AF63F52C74C}"/>
            </a:ext>
            <a:ext uri="{147F2762-F138-4A5C-976F-8EAC2B608ADB}">
              <a16:predDERef xmlns:a16="http://schemas.microsoft.com/office/drawing/2014/main" pred="{24188CFD-C322-0553-E322-759A742A33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771525</xdr:colOff>
      <xdr:row>37</xdr:row>
      <xdr:rowOff>180975</xdr:rowOff>
    </xdr:from>
    <xdr:to>
      <xdr:col>13</xdr:col>
      <xdr:colOff>428625</xdr:colOff>
      <xdr:row>52</xdr:row>
      <xdr:rowOff>142875</xdr:rowOff>
    </xdr:to>
    <xdr:graphicFrame macro="">
      <xdr:nvGraphicFramePr>
        <xdr:cNvPr id="38" name="Chart 3">
          <a:extLst>
            <a:ext uri="{FF2B5EF4-FFF2-40B4-BE49-F238E27FC236}">
              <a16:creationId xmlns:a16="http://schemas.microsoft.com/office/drawing/2014/main" id="{17D225A4-90F5-6C7C-DDD1-09695C4B63C5}"/>
            </a:ext>
            <a:ext uri="{147F2762-F138-4A5C-976F-8EAC2B608ADB}">
              <a16:predDERef xmlns:a16="http://schemas.microsoft.com/office/drawing/2014/main" pred="{2898E2C4-5F14-D617-4296-7AF63F52C7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0</xdr:colOff>
      <xdr:row>56</xdr:row>
      <xdr:rowOff>11430</xdr:rowOff>
    </xdr:from>
    <xdr:to>
      <xdr:col>13</xdr:col>
      <xdr:colOff>304800</xdr:colOff>
      <xdr:row>71</xdr:row>
      <xdr:rowOff>11430</xdr:rowOff>
    </xdr:to>
    <xdr:graphicFrame macro="">
      <xdr:nvGraphicFramePr>
        <xdr:cNvPr id="5" name="Chart 4">
          <a:extLst>
            <a:ext uri="{FF2B5EF4-FFF2-40B4-BE49-F238E27FC236}">
              <a16:creationId xmlns:a16="http://schemas.microsoft.com/office/drawing/2014/main" id="{21428CC8-C6D9-8061-2198-257EB74E4D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22860</xdr:colOff>
      <xdr:row>74</xdr:row>
      <xdr:rowOff>7620</xdr:rowOff>
    </xdr:from>
    <xdr:to>
      <xdr:col>13</xdr:col>
      <xdr:colOff>346710</xdr:colOff>
      <xdr:row>88</xdr:row>
      <xdr:rowOff>179070</xdr:rowOff>
    </xdr:to>
    <xdr:graphicFrame macro="">
      <xdr:nvGraphicFramePr>
        <xdr:cNvPr id="37" name="Chart 5">
          <a:extLst>
            <a:ext uri="{FF2B5EF4-FFF2-40B4-BE49-F238E27FC236}">
              <a16:creationId xmlns:a16="http://schemas.microsoft.com/office/drawing/2014/main" id="{C92F19A7-4270-7ACC-06D4-73EB0B9191E3}"/>
            </a:ext>
            <a:ext uri="{147F2762-F138-4A5C-976F-8EAC2B608ADB}">
              <a16:predDERef xmlns:a16="http://schemas.microsoft.com/office/drawing/2014/main" pred="{21428CC8-C6D9-8061-2198-257EB74E4D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76200</xdr:colOff>
      <xdr:row>92</xdr:row>
      <xdr:rowOff>57150</xdr:rowOff>
    </xdr:from>
    <xdr:to>
      <xdr:col>13</xdr:col>
      <xdr:colOff>295275</xdr:colOff>
      <xdr:row>107</xdr:row>
      <xdr:rowOff>0</xdr:rowOff>
    </xdr:to>
    <xdr:graphicFrame macro="">
      <xdr:nvGraphicFramePr>
        <xdr:cNvPr id="40" name="Chart 6">
          <a:extLst>
            <a:ext uri="{FF2B5EF4-FFF2-40B4-BE49-F238E27FC236}">
              <a16:creationId xmlns:a16="http://schemas.microsoft.com/office/drawing/2014/main" id="{557669B2-92B2-97D1-7898-F1F4CB4D53E9}"/>
            </a:ext>
            <a:ext uri="{147F2762-F138-4A5C-976F-8EAC2B608ADB}">
              <a16:predDERef xmlns:a16="http://schemas.microsoft.com/office/drawing/2014/main" pred="{C92F19A7-4270-7ACC-06D4-73EB0B9191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0</xdr:colOff>
      <xdr:row>109</xdr:row>
      <xdr:rowOff>179070</xdr:rowOff>
    </xdr:from>
    <xdr:to>
      <xdr:col>13</xdr:col>
      <xdr:colOff>304800</xdr:colOff>
      <xdr:row>124</xdr:row>
      <xdr:rowOff>179070</xdr:rowOff>
    </xdr:to>
    <xdr:graphicFrame macro="">
      <xdr:nvGraphicFramePr>
        <xdr:cNvPr id="8" name="Chart 7">
          <a:extLst>
            <a:ext uri="{FF2B5EF4-FFF2-40B4-BE49-F238E27FC236}">
              <a16:creationId xmlns:a16="http://schemas.microsoft.com/office/drawing/2014/main" id="{6942BBA3-E694-AA40-A69E-49F44F4D28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762000</xdr:colOff>
      <xdr:row>127</xdr:row>
      <xdr:rowOff>142875</xdr:rowOff>
    </xdr:from>
    <xdr:to>
      <xdr:col>13</xdr:col>
      <xdr:colOff>314325</xdr:colOff>
      <xdr:row>142</xdr:row>
      <xdr:rowOff>180975</xdr:rowOff>
    </xdr:to>
    <xdr:graphicFrame macro="">
      <xdr:nvGraphicFramePr>
        <xdr:cNvPr id="35" name="Chart 8">
          <a:extLst>
            <a:ext uri="{FF2B5EF4-FFF2-40B4-BE49-F238E27FC236}">
              <a16:creationId xmlns:a16="http://schemas.microsoft.com/office/drawing/2014/main" id="{EF278E96-F96A-F451-48A4-ABF644487673}"/>
            </a:ext>
            <a:ext uri="{147F2762-F138-4A5C-976F-8EAC2B608ADB}">
              <a16:predDERef xmlns:a16="http://schemas.microsoft.com/office/drawing/2014/main" pred="{6942BBA3-E694-AA40-A69E-49F44F4D28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752475</xdr:colOff>
      <xdr:row>145</xdr:row>
      <xdr:rowOff>142875</xdr:rowOff>
    </xdr:from>
    <xdr:to>
      <xdr:col>13</xdr:col>
      <xdr:colOff>295275</xdr:colOff>
      <xdr:row>160</xdr:row>
      <xdr:rowOff>180975</xdr:rowOff>
    </xdr:to>
    <xdr:graphicFrame macro="">
      <xdr:nvGraphicFramePr>
        <xdr:cNvPr id="34" name="Chart 9">
          <a:extLst>
            <a:ext uri="{FF2B5EF4-FFF2-40B4-BE49-F238E27FC236}">
              <a16:creationId xmlns:a16="http://schemas.microsoft.com/office/drawing/2014/main" id="{4C4247DB-1B66-7565-38C9-96A8E2E73DAE}"/>
            </a:ext>
            <a:ext uri="{147F2762-F138-4A5C-976F-8EAC2B608ADB}">
              <a16:predDERef xmlns:a16="http://schemas.microsoft.com/office/drawing/2014/main" pred="{EF278E96-F96A-F451-48A4-ABF6444876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771525</xdr:colOff>
      <xdr:row>164</xdr:row>
      <xdr:rowOff>0</xdr:rowOff>
    </xdr:from>
    <xdr:to>
      <xdr:col>13</xdr:col>
      <xdr:colOff>295275</xdr:colOff>
      <xdr:row>178</xdr:row>
      <xdr:rowOff>180975</xdr:rowOff>
    </xdr:to>
    <xdr:graphicFrame macro="">
      <xdr:nvGraphicFramePr>
        <xdr:cNvPr id="33" name="Chart 10">
          <a:extLst>
            <a:ext uri="{FF2B5EF4-FFF2-40B4-BE49-F238E27FC236}">
              <a16:creationId xmlns:a16="http://schemas.microsoft.com/office/drawing/2014/main" id="{A8DA8B7C-9D7C-546A-04D6-07EA875936EC}"/>
            </a:ext>
            <a:ext uri="{147F2762-F138-4A5C-976F-8EAC2B608ADB}">
              <a16:predDERef xmlns:a16="http://schemas.microsoft.com/office/drawing/2014/main" pred="{4C4247DB-1B66-7565-38C9-96A8E2E73D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19050</xdr:colOff>
      <xdr:row>182</xdr:row>
      <xdr:rowOff>38100</xdr:rowOff>
    </xdr:from>
    <xdr:to>
      <xdr:col>13</xdr:col>
      <xdr:colOff>295275</xdr:colOff>
      <xdr:row>197</xdr:row>
      <xdr:rowOff>0</xdr:rowOff>
    </xdr:to>
    <xdr:graphicFrame macro="">
      <xdr:nvGraphicFramePr>
        <xdr:cNvPr id="41" name="Chart 11">
          <a:extLst>
            <a:ext uri="{FF2B5EF4-FFF2-40B4-BE49-F238E27FC236}">
              <a16:creationId xmlns:a16="http://schemas.microsoft.com/office/drawing/2014/main" id="{E7E97299-1D73-6FB6-2756-945BF6F5D88A}"/>
            </a:ext>
            <a:ext uri="{147F2762-F138-4A5C-976F-8EAC2B608ADB}">
              <a16:predDERef xmlns:a16="http://schemas.microsoft.com/office/drawing/2014/main" pred="{A8DA8B7C-9D7C-546A-04D6-07EA875936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xdr:col>
      <xdr:colOff>114300</xdr:colOff>
      <xdr:row>200</xdr:row>
      <xdr:rowOff>47625</xdr:rowOff>
    </xdr:from>
    <xdr:to>
      <xdr:col>13</xdr:col>
      <xdr:colOff>304800</xdr:colOff>
      <xdr:row>215</xdr:row>
      <xdr:rowOff>0</xdr:rowOff>
    </xdr:to>
    <xdr:graphicFrame macro="">
      <xdr:nvGraphicFramePr>
        <xdr:cNvPr id="42" name="Chart 12">
          <a:extLst>
            <a:ext uri="{FF2B5EF4-FFF2-40B4-BE49-F238E27FC236}">
              <a16:creationId xmlns:a16="http://schemas.microsoft.com/office/drawing/2014/main" id="{F54DF54F-FD4E-D40A-7AE2-B55D812796EB}"/>
            </a:ext>
            <a:ext uri="{147F2762-F138-4A5C-976F-8EAC2B608ADB}">
              <a16:predDERef xmlns:a16="http://schemas.microsoft.com/office/drawing/2014/main" pred="{E7E97299-1D73-6FB6-2756-945BF6F5D88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6</xdr:col>
      <xdr:colOff>0</xdr:colOff>
      <xdr:row>218</xdr:row>
      <xdr:rowOff>11430</xdr:rowOff>
    </xdr:from>
    <xdr:to>
      <xdr:col>13</xdr:col>
      <xdr:colOff>304800</xdr:colOff>
      <xdr:row>233</xdr:row>
      <xdr:rowOff>11430</xdr:rowOff>
    </xdr:to>
    <xdr:graphicFrame macro="">
      <xdr:nvGraphicFramePr>
        <xdr:cNvPr id="14" name="Chart 13">
          <a:extLst>
            <a:ext uri="{FF2B5EF4-FFF2-40B4-BE49-F238E27FC236}">
              <a16:creationId xmlns:a16="http://schemas.microsoft.com/office/drawing/2014/main" id="{3C98453E-02F4-DA0B-C273-6B9E74EAE5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38100</xdr:colOff>
      <xdr:row>235</xdr:row>
      <xdr:rowOff>95250</xdr:rowOff>
    </xdr:from>
    <xdr:to>
      <xdr:col>13</xdr:col>
      <xdr:colOff>285750</xdr:colOff>
      <xdr:row>251</xdr:row>
      <xdr:rowOff>9525</xdr:rowOff>
    </xdr:to>
    <xdr:graphicFrame macro="">
      <xdr:nvGraphicFramePr>
        <xdr:cNvPr id="43" name="Chart 14">
          <a:extLst>
            <a:ext uri="{FF2B5EF4-FFF2-40B4-BE49-F238E27FC236}">
              <a16:creationId xmlns:a16="http://schemas.microsoft.com/office/drawing/2014/main" id="{D95DBEDA-94DB-B9F7-7479-4AEEBB1E8AD8}"/>
            </a:ext>
            <a:ext uri="{147F2762-F138-4A5C-976F-8EAC2B608ADB}">
              <a16:predDERef xmlns:a16="http://schemas.microsoft.com/office/drawing/2014/main" pred="{3C98453E-02F4-DA0B-C273-6B9E74EAE5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6</xdr:col>
      <xdr:colOff>15240</xdr:colOff>
      <xdr:row>254</xdr:row>
      <xdr:rowOff>171450</xdr:rowOff>
    </xdr:from>
    <xdr:to>
      <xdr:col>13</xdr:col>
      <xdr:colOff>320040</xdr:colOff>
      <xdr:row>269</xdr:row>
      <xdr:rowOff>171450</xdr:rowOff>
    </xdr:to>
    <xdr:graphicFrame macro="">
      <xdr:nvGraphicFramePr>
        <xdr:cNvPr id="16" name="Chart 15">
          <a:extLst>
            <a:ext uri="{FF2B5EF4-FFF2-40B4-BE49-F238E27FC236}">
              <a16:creationId xmlns:a16="http://schemas.microsoft.com/office/drawing/2014/main" id="{BC89E616-A7FD-DDA5-D8E3-82221F142B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5</xdr:col>
      <xdr:colOff>601980</xdr:colOff>
      <xdr:row>273</xdr:row>
      <xdr:rowOff>11430</xdr:rowOff>
    </xdr:from>
    <xdr:to>
      <xdr:col>13</xdr:col>
      <xdr:colOff>297180</xdr:colOff>
      <xdr:row>288</xdr:row>
      <xdr:rowOff>11430</xdr:rowOff>
    </xdr:to>
    <xdr:graphicFrame macro="">
      <xdr:nvGraphicFramePr>
        <xdr:cNvPr id="17" name="Chart 16">
          <a:extLst>
            <a:ext uri="{FF2B5EF4-FFF2-40B4-BE49-F238E27FC236}">
              <a16:creationId xmlns:a16="http://schemas.microsoft.com/office/drawing/2014/main" id="{4BF80938-C448-DBE2-BF34-75D8986212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6</xdr:col>
      <xdr:colOff>0</xdr:colOff>
      <xdr:row>289</xdr:row>
      <xdr:rowOff>171450</xdr:rowOff>
    </xdr:from>
    <xdr:to>
      <xdr:col>13</xdr:col>
      <xdr:colOff>304800</xdr:colOff>
      <xdr:row>304</xdr:row>
      <xdr:rowOff>171450</xdr:rowOff>
    </xdr:to>
    <xdr:graphicFrame macro="">
      <xdr:nvGraphicFramePr>
        <xdr:cNvPr id="18" name="Chart 17">
          <a:extLst>
            <a:ext uri="{FF2B5EF4-FFF2-40B4-BE49-F238E27FC236}">
              <a16:creationId xmlns:a16="http://schemas.microsoft.com/office/drawing/2014/main" id="{1418BAB2-0936-9F05-4192-FE22913806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6</xdr:col>
      <xdr:colOff>0</xdr:colOff>
      <xdr:row>307</xdr:row>
      <xdr:rowOff>171450</xdr:rowOff>
    </xdr:from>
    <xdr:to>
      <xdr:col>13</xdr:col>
      <xdr:colOff>304800</xdr:colOff>
      <xdr:row>322</xdr:row>
      <xdr:rowOff>171450</xdr:rowOff>
    </xdr:to>
    <xdr:graphicFrame macro="">
      <xdr:nvGraphicFramePr>
        <xdr:cNvPr id="19" name="Chart 18">
          <a:extLst>
            <a:ext uri="{FF2B5EF4-FFF2-40B4-BE49-F238E27FC236}">
              <a16:creationId xmlns:a16="http://schemas.microsoft.com/office/drawing/2014/main" id="{D38E9CE0-3DAD-530F-F0C5-2889EE23D7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xdr:col>
      <xdr:colOff>19050</xdr:colOff>
      <xdr:row>325</xdr:row>
      <xdr:rowOff>9525</xdr:rowOff>
    </xdr:from>
    <xdr:to>
      <xdr:col>13</xdr:col>
      <xdr:colOff>295275</xdr:colOff>
      <xdr:row>341</xdr:row>
      <xdr:rowOff>0</xdr:rowOff>
    </xdr:to>
    <xdr:graphicFrame macro="">
      <xdr:nvGraphicFramePr>
        <xdr:cNvPr id="44" name="Chart 19">
          <a:extLst>
            <a:ext uri="{FF2B5EF4-FFF2-40B4-BE49-F238E27FC236}">
              <a16:creationId xmlns:a16="http://schemas.microsoft.com/office/drawing/2014/main" id="{BC7FF64F-32E5-BFAC-CB70-1C135F9FDFAD}"/>
            </a:ext>
            <a:ext uri="{147F2762-F138-4A5C-976F-8EAC2B608ADB}">
              <a16:predDERef xmlns:a16="http://schemas.microsoft.com/office/drawing/2014/main" pred="{D38E9CE0-3DAD-530F-F0C5-2889EE23D7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xdr:col>
      <xdr:colOff>0</xdr:colOff>
      <xdr:row>344</xdr:row>
      <xdr:rowOff>11430</xdr:rowOff>
    </xdr:from>
    <xdr:to>
      <xdr:col>13</xdr:col>
      <xdr:colOff>304800</xdr:colOff>
      <xdr:row>359</xdr:row>
      <xdr:rowOff>11430</xdr:rowOff>
    </xdr:to>
    <xdr:graphicFrame macro="">
      <xdr:nvGraphicFramePr>
        <xdr:cNvPr id="21" name="Chart 20">
          <a:extLst>
            <a:ext uri="{FF2B5EF4-FFF2-40B4-BE49-F238E27FC236}">
              <a16:creationId xmlns:a16="http://schemas.microsoft.com/office/drawing/2014/main" id="{D2F8F4AA-78D0-AECC-F088-1A306F92BD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7620</xdr:colOff>
      <xdr:row>1</xdr:row>
      <xdr:rowOff>179070</xdr:rowOff>
    </xdr:from>
    <xdr:to>
      <xdr:col>13</xdr:col>
      <xdr:colOff>312420</xdr:colOff>
      <xdr:row>16</xdr:row>
      <xdr:rowOff>179070</xdr:rowOff>
    </xdr:to>
    <xdr:graphicFrame macro="">
      <xdr:nvGraphicFramePr>
        <xdr:cNvPr id="2" name="Chart 1">
          <a:extLst>
            <a:ext uri="{FF2B5EF4-FFF2-40B4-BE49-F238E27FC236}">
              <a16:creationId xmlns:a16="http://schemas.microsoft.com/office/drawing/2014/main" id="{74332996-CF56-27FB-9F89-3E145F5CD4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20</xdr:row>
      <xdr:rowOff>26670</xdr:rowOff>
    </xdr:from>
    <xdr:to>
      <xdr:col>13</xdr:col>
      <xdr:colOff>304800</xdr:colOff>
      <xdr:row>35</xdr:row>
      <xdr:rowOff>26670</xdr:rowOff>
    </xdr:to>
    <xdr:graphicFrame macro="">
      <xdr:nvGraphicFramePr>
        <xdr:cNvPr id="3" name="Chart 2">
          <a:extLst>
            <a:ext uri="{FF2B5EF4-FFF2-40B4-BE49-F238E27FC236}">
              <a16:creationId xmlns:a16="http://schemas.microsoft.com/office/drawing/2014/main" id="{374538E3-3170-8E69-50CA-6DC51779C22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0</xdr:colOff>
      <xdr:row>38</xdr:row>
      <xdr:rowOff>3810</xdr:rowOff>
    </xdr:from>
    <xdr:to>
      <xdr:col>13</xdr:col>
      <xdr:colOff>304800</xdr:colOff>
      <xdr:row>53</xdr:row>
      <xdr:rowOff>3810</xdr:rowOff>
    </xdr:to>
    <xdr:graphicFrame macro="">
      <xdr:nvGraphicFramePr>
        <xdr:cNvPr id="4" name="Chart 3">
          <a:extLst>
            <a:ext uri="{FF2B5EF4-FFF2-40B4-BE49-F238E27FC236}">
              <a16:creationId xmlns:a16="http://schemas.microsoft.com/office/drawing/2014/main" id="{017DB0B2-0AF5-C063-C19B-F427D20AC7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7620</xdr:colOff>
      <xdr:row>56</xdr:row>
      <xdr:rowOff>3810</xdr:rowOff>
    </xdr:from>
    <xdr:to>
      <xdr:col>13</xdr:col>
      <xdr:colOff>312420</xdr:colOff>
      <xdr:row>71</xdr:row>
      <xdr:rowOff>3810</xdr:rowOff>
    </xdr:to>
    <xdr:graphicFrame macro="">
      <xdr:nvGraphicFramePr>
        <xdr:cNvPr id="5" name="Chart 4">
          <a:extLst>
            <a:ext uri="{FF2B5EF4-FFF2-40B4-BE49-F238E27FC236}">
              <a16:creationId xmlns:a16="http://schemas.microsoft.com/office/drawing/2014/main" id="{F7AA4629-86EA-18B3-1652-6C588C0248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68580</xdr:colOff>
      <xdr:row>73</xdr:row>
      <xdr:rowOff>179070</xdr:rowOff>
    </xdr:from>
    <xdr:to>
      <xdr:col>13</xdr:col>
      <xdr:colOff>551180</xdr:colOff>
      <xdr:row>88</xdr:row>
      <xdr:rowOff>179070</xdr:rowOff>
    </xdr:to>
    <xdr:graphicFrame macro="">
      <xdr:nvGraphicFramePr>
        <xdr:cNvPr id="22" name="Chart 5">
          <a:extLst>
            <a:ext uri="{FF2B5EF4-FFF2-40B4-BE49-F238E27FC236}">
              <a16:creationId xmlns:a16="http://schemas.microsoft.com/office/drawing/2014/main" id="{19F76093-8DF2-0C3F-BAD2-B15D43131B8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139700</xdr:colOff>
      <xdr:row>92</xdr:row>
      <xdr:rowOff>3810</xdr:rowOff>
    </xdr:from>
    <xdr:to>
      <xdr:col>13</xdr:col>
      <xdr:colOff>444500</xdr:colOff>
      <xdr:row>107</xdr:row>
      <xdr:rowOff>3810</xdr:rowOff>
    </xdr:to>
    <xdr:graphicFrame macro="">
      <xdr:nvGraphicFramePr>
        <xdr:cNvPr id="23" name="Chart 6">
          <a:extLst>
            <a:ext uri="{FF2B5EF4-FFF2-40B4-BE49-F238E27FC236}">
              <a16:creationId xmlns:a16="http://schemas.microsoft.com/office/drawing/2014/main" id="{CDE5ED2C-D9CF-AC4F-4D42-024039BBB4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7620</xdr:colOff>
      <xdr:row>110</xdr:row>
      <xdr:rowOff>34290</xdr:rowOff>
    </xdr:from>
    <xdr:to>
      <xdr:col>13</xdr:col>
      <xdr:colOff>464820</xdr:colOff>
      <xdr:row>125</xdr:row>
      <xdr:rowOff>34290</xdr:rowOff>
    </xdr:to>
    <xdr:graphicFrame macro="">
      <xdr:nvGraphicFramePr>
        <xdr:cNvPr id="8" name="Chart 7">
          <a:extLst>
            <a:ext uri="{FF2B5EF4-FFF2-40B4-BE49-F238E27FC236}">
              <a16:creationId xmlns:a16="http://schemas.microsoft.com/office/drawing/2014/main" id="{2DB8191E-1C5C-6922-73A0-ECE02DD27D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7620</xdr:colOff>
      <xdr:row>128</xdr:row>
      <xdr:rowOff>11430</xdr:rowOff>
    </xdr:from>
    <xdr:to>
      <xdr:col>13</xdr:col>
      <xdr:colOff>312420</xdr:colOff>
      <xdr:row>143</xdr:row>
      <xdr:rowOff>11430</xdr:rowOff>
    </xdr:to>
    <xdr:graphicFrame macro="">
      <xdr:nvGraphicFramePr>
        <xdr:cNvPr id="9" name="Chart 8">
          <a:extLst>
            <a:ext uri="{FF2B5EF4-FFF2-40B4-BE49-F238E27FC236}">
              <a16:creationId xmlns:a16="http://schemas.microsoft.com/office/drawing/2014/main" id="{EAB1B45C-6C75-2964-78E4-8D5E7C4AD2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0</xdr:colOff>
      <xdr:row>145</xdr:row>
      <xdr:rowOff>171450</xdr:rowOff>
    </xdr:from>
    <xdr:to>
      <xdr:col>13</xdr:col>
      <xdr:colOff>304800</xdr:colOff>
      <xdr:row>160</xdr:row>
      <xdr:rowOff>171450</xdr:rowOff>
    </xdr:to>
    <xdr:graphicFrame macro="">
      <xdr:nvGraphicFramePr>
        <xdr:cNvPr id="10" name="Chart 9">
          <a:extLst>
            <a:ext uri="{FF2B5EF4-FFF2-40B4-BE49-F238E27FC236}">
              <a16:creationId xmlns:a16="http://schemas.microsoft.com/office/drawing/2014/main" id="{E4AB2CEF-B817-3338-5CC1-0CB4932511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7620</xdr:colOff>
      <xdr:row>164</xdr:row>
      <xdr:rowOff>19050</xdr:rowOff>
    </xdr:from>
    <xdr:to>
      <xdr:col>13</xdr:col>
      <xdr:colOff>312420</xdr:colOff>
      <xdr:row>179</xdr:row>
      <xdr:rowOff>19050</xdr:rowOff>
    </xdr:to>
    <xdr:graphicFrame macro="">
      <xdr:nvGraphicFramePr>
        <xdr:cNvPr id="11" name="Chart 10">
          <a:extLst>
            <a:ext uri="{FF2B5EF4-FFF2-40B4-BE49-F238E27FC236}">
              <a16:creationId xmlns:a16="http://schemas.microsoft.com/office/drawing/2014/main" id="{348EDF6A-F4C5-05BD-97BF-C13973D110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0</xdr:colOff>
      <xdr:row>181</xdr:row>
      <xdr:rowOff>171450</xdr:rowOff>
    </xdr:from>
    <xdr:to>
      <xdr:col>13</xdr:col>
      <xdr:colOff>304800</xdr:colOff>
      <xdr:row>196</xdr:row>
      <xdr:rowOff>171450</xdr:rowOff>
    </xdr:to>
    <xdr:graphicFrame macro="">
      <xdr:nvGraphicFramePr>
        <xdr:cNvPr id="12" name="Chart 11">
          <a:extLst>
            <a:ext uri="{FF2B5EF4-FFF2-40B4-BE49-F238E27FC236}">
              <a16:creationId xmlns:a16="http://schemas.microsoft.com/office/drawing/2014/main" id="{00210CF1-1828-6F1F-A7C5-BA8401BAAE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xdr:col>
      <xdr:colOff>15240</xdr:colOff>
      <xdr:row>200</xdr:row>
      <xdr:rowOff>11430</xdr:rowOff>
    </xdr:from>
    <xdr:to>
      <xdr:col>13</xdr:col>
      <xdr:colOff>472440</xdr:colOff>
      <xdr:row>215</xdr:row>
      <xdr:rowOff>11430</xdr:rowOff>
    </xdr:to>
    <xdr:graphicFrame macro="">
      <xdr:nvGraphicFramePr>
        <xdr:cNvPr id="13" name="Chart 12">
          <a:extLst>
            <a:ext uri="{FF2B5EF4-FFF2-40B4-BE49-F238E27FC236}">
              <a16:creationId xmlns:a16="http://schemas.microsoft.com/office/drawing/2014/main" id="{4903086E-9FB3-4372-957E-CD07F88EA2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6</xdr:col>
      <xdr:colOff>7620</xdr:colOff>
      <xdr:row>218</xdr:row>
      <xdr:rowOff>3810</xdr:rowOff>
    </xdr:from>
    <xdr:to>
      <xdr:col>13</xdr:col>
      <xdr:colOff>312420</xdr:colOff>
      <xdr:row>233</xdr:row>
      <xdr:rowOff>3810</xdr:rowOff>
    </xdr:to>
    <xdr:graphicFrame macro="">
      <xdr:nvGraphicFramePr>
        <xdr:cNvPr id="14" name="Chart 13">
          <a:extLst>
            <a:ext uri="{FF2B5EF4-FFF2-40B4-BE49-F238E27FC236}">
              <a16:creationId xmlns:a16="http://schemas.microsoft.com/office/drawing/2014/main" id="{9C6923F6-EF1B-22C7-4FD3-B57A0F29C8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754380</xdr:colOff>
      <xdr:row>235</xdr:row>
      <xdr:rowOff>171450</xdr:rowOff>
    </xdr:from>
    <xdr:to>
      <xdr:col>13</xdr:col>
      <xdr:colOff>449580</xdr:colOff>
      <xdr:row>250</xdr:row>
      <xdr:rowOff>171450</xdr:rowOff>
    </xdr:to>
    <xdr:graphicFrame macro="">
      <xdr:nvGraphicFramePr>
        <xdr:cNvPr id="15" name="Chart 14">
          <a:extLst>
            <a:ext uri="{FF2B5EF4-FFF2-40B4-BE49-F238E27FC236}">
              <a16:creationId xmlns:a16="http://schemas.microsoft.com/office/drawing/2014/main" id="{13ECEC96-AC8A-9BB7-BE34-42A1EDC150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6</xdr:col>
      <xdr:colOff>15240</xdr:colOff>
      <xdr:row>254</xdr:row>
      <xdr:rowOff>19050</xdr:rowOff>
    </xdr:from>
    <xdr:to>
      <xdr:col>13</xdr:col>
      <xdr:colOff>320040</xdr:colOff>
      <xdr:row>269</xdr:row>
      <xdr:rowOff>19050</xdr:rowOff>
    </xdr:to>
    <xdr:graphicFrame macro="">
      <xdr:nvGraphicFramePr>
        <xdr:cNvPr id="16" name="Chart 15">
          <a:extLst>
            <a:ext uri="{FF2B5EF4-FFF2-40B4-BE49-F238E27FC236}">
              <a16:creationId xmlns:a16="http://schemas.microsoft.com/office/drawing/2014/main" id="{B90672CB-EAB5-4EA0-EA2A-8FEF9F2AB2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6</xdr:col>
      <xdr:colOff>22860</xdr:colOff>
      <xdr:row>272</xdr:row>
      <xdr:rowOff>3810</xdr:rowOff>
    </xdr:from>
    <xdr:to>
      <xdr:col>13</xdr:col>
      <xdr:colOff>480060</xdr:colOff>
      <xdr:row>287</xdr:row>
      <xdr:rowOff>3810</xdr:rowOff>
    </xdr:to>
    <xdr:graphicFrame macro="">
      <xdr:nvGraphicFramePr>
        <xdr:cNvPr id="17" name="Chart 16">
          <a:extLst>
            <a:ext uri="{FF2B5EF4-FFF2-40B4-BE49-F238E27FC236}">
              <a16:creationId xmlns:a16="http://schemas.microsoft.com/office/drawing/2014/main" id="{3BAB7942-353A-4657-F56F-945F38404F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6</xdr:col>
      <xdr:colOff>0</xdr:colOff>
      <xdr:row>289</xdr:row>
      <xdr:rowOff>171450</xdr:rowOff>
    </xdr:from>
    <xdr:to>
      <xdr:col>13</xdr:col>
      <xdr:colOff>304800</xdr:colOff>
      <xdr:row>304</xdr:row>
      <xdr:rowOff>171450</xdr:rowOff>
    </xdr:to>
    <xdr:graphicFrame macro="">
      <xdr:nvGraphicFramePr>
        <xdr:cNvPr id="18" name="Chart 17">
          <a:extLst>
            <a:ext uri="{FF2B5EF4-FFF2-40B4-BE49-F238E27FC236}">
              <a16:creationId xmlns:a16="http://schemas.microsoft.com/office/drawing/2014/main" id="{B485CE3A-BDA1-56E6-935E-1783D792BA4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6</xdr:col>
      <xdr:colOff>0</xdr:colOff>
      <xdr:row>308</xdr:row>
      <xdr:rowOff>11430</xdr:rowOff>
    </xdr:from>
    <xdr:to>
      <xdr:col>13</xdr:col>
      <xdr:colOff>457200</xdr:colOff>
      <xdr:row>323</xdr:row>
      <xdr:rowOff>11430</xdr:rowOff>
    </xdr:to>
    <xdr:graphicFrame macro="">
      <xdr:nvGraphicFramePr>
        <xdr:cNvPr id="19" name="Chart 18">
          <a:extLst>
            <a:ext uri="{FF2B5EF4-FFF2-40B4-BE49-F238E27FC236}">
              <a16:creationId xmlns:a16="http://schemas.microsoft.com/office/drawing/2014/main" id="{1335CA4F-A503-A263-A78C-7B5D87069C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xdr:col>
      <xdr:colOff>7620</xdr:colOff>
      <xdr:row>325</xdr:row>
      <xdr:rowOff>163830</xdr:rowOff>
    </xdr:from>
    <xdr:to>
      <xdr:col>13</xdr:col>
      <xdr:colOff>312420</xdr:colOff>
      <xdr:row>340</xdr:row>
      <xdr:rowOff>163830</xdr:rowOff>
    </xdr:to>
    <xdr:graphicFrame macro="">
      <xdr:nvGraphicFramePr>
        <xdr:cNvPr id="20" name="Chart 19">
          <a:extLst>
            <a:ext uri="{FF2B5EF4-FFF2-40B4-BE49-F238E27FC236}">
              <a16:creationId xmlns:a16="http://schemas.microsoft.com/office/drawing/2014/main" id="{58A7BEF3-35B8-6958-7CAD-4FC817DD63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xdr:col>
      <xdr:colOff>38100</xdr:colOff>
      <xdr:row>344</xdr:row>
      <xdr:rowOff>3810</xdr:rowOff>
    </xdr:from>
    <xdr:to>
      <xdr:col>13</xdr:col>
      <xdr:colOff>342900</xdr:colOff>
      <xdr:row>359</xdr:row>
      <xdr:rowOff>3810</xdr:rowOff>
    </xdr:to>
    <xdr:graphicFrame macro="">
      <xdr:nvGraphicFramePr>
        <xdr:cNvPr id="21" name="Chart 20">
          <a:extLst>
            <a:ext uri="{FF2B5EF4-FFF2-40B4-BE49-F238E27FC236}">
              <a16:creationId xmlns:a16="http://schemas.microsoft.com/office/drawing/2014/main" id="{EFAA8847-E110-F34E-5681-63EFA78411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7620</xdr:colOff>
      <xdr:row>1</xdr:row>
      <xdr:rowOff>171450</xdr:rowOff>
    </xdr:from>
    <xdr:to>
      <xdr:col>13</xdr:col>
      <xdr:colOff>312420</xdr:colOff>
      <xdr:row>16</xdr:row>
      <xdr:rowOff>171450</xdr:rowOff>
    </xdr:to>
    <xdr:graphicFrame macro="">
      <xdr:nvGraphicFramePr>
        <xdr:cNvPr id="24" name="Chart 23">
          <a:extLst>
            <a:ext uri="{FF2B5EF4-FFF2-40B4-BE49-F238E27FC236}">
              <a16:creationId xmlns:a16="http://schemas.microsoft.com/office/drawing/2014/main" id="{7AF048FD-CAD7-A712-4189-638D70E9C4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xdr:colOff>
      <xdr:row>19</xdr:row>
      <xdr:rowOff>171450</xdr:rowOff>
    </xdr:from>
    <xdr:to>
      <xdr:col>13</xdr:col>
      <xdr:colOff>312420</xdr:colOff>
      <xdr:row>34</xdr:row>
      <xdr:rowOff>171450</xdr:rowOff>
    </xdr:to>
    <xdr:graphicFrame macro="">
      <xdr:nvGraphicFramePr>
        <xdr:cNvPr id="25" name="Chart 24">
          <a:extLst>
            <a:ext uri="{FF2B5EF4-FFF2-40B4-BE49-F238E27FC236}">
              <a16:creationId xmlns:a16="http://schemas.microsoft.com/office/drawing/2014/main" id="{2417FC7E-EB51-09C8-FA65-90A079B0C1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7620</xdr:colOff>
      <xdr:row>36</xdr:row>
      <xdr:rowOff>171450</xdr:rowOff>
    </xdr:from>
    <xdr:to>
      <xdr:col>13</xdr:col>
      <xdr:colOff>312420</xdr:colOff>
      <xdr:row>51</xdr:row>
      <xdr:rowOff>171450</xdr:rowOff>
    </xdr:to>
    <xdr:graphicFrame macro="">
      <xdr:nvGraphicFramePr>
        <xdr:cNvPr id="26" name="Chart 25">
          <a:extLst>
            <a:ext uri="{FF2B5EF4-FFF2-40B4-BE49-F238E27FC236}">
              <a16:creationId xmlns:a16="http://schemas.microsoft.com/office/drawing/2014/main" id="{EE4DB838-AE36-60A6-589B-665CC8CD66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15240</xdr:colOff>
      <xdr:row>55</xdr:row>
      <xdr:rowOff>11430</xdr:rowOff>
    </xdr:from>
    <xdr:to>
      <xdr:col>13</xdr:col>
      <xdr:colOff>320040</xdr:colOff>
      <xdr:row>70</xdr:row>
      <xdr:rowOff>11430</xdr:rowOff>
    </xdr:to>
    <xdr:graphicFrame macro="">
      <xdr:nvGraphicFramePr>
        <xdr:cNvPr id="27" name="Chart 26">
          <a:extLst>
            <a:ext uri="{FF2B5EF4-FFF2-40B4-BE49-F238E27FC236}">
              <a16:creationId xmlns:a16="http://schemas.microsoft.com/office/drawing/2014/main" id="{44E25B15-BFA1-3DCA-5C29-6A17F9F5B4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0</xdr:colOff>
      <xdr:row>72</xdr:row>
      <xdr:rowOff>179070</xdr:rowOff>
    </xdr:from>
    <xdr:to>
      <xdr:col>13</xdr:col>
      <xdr:colOff>304800</xdr:colOff>
      <xdr:row>87</xdr:row>
      <xdr:rowOff>179070</xdr:rowOff>
    </xdr:to>
    <xdr:graphicFrame macro="">
      <xdr:nvGraphicFramePr>
        <xdr:cNvPr id="28" name="Chart 27">
          <a:extLst>
            <a:ext uri="{FF2B5EF4-FFF2-40B4-BE49-F238E27FC236}">
              <a16:creationId xmlns:a16="http://schemas.microsoft.com/office/drawing/2014/main" id="{7B02A2E7-4875-26B3-0483-E3149CAEC82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0</xdr:colOff>
      <xdr:row>90</xdr:row>
      <xdr:rowOff>163830</xdr:rowOff>
    </xdr:from>
    <xdr:to>
      <xdr:col>13</xdr:col>
      <xdr:colOff>304800</xdr:colOff>
      <xdr:row>105</xdr:row>
      <xdr:rowOff>163830</xdr:rowOff>
    </xdr:to>
    <xdr:graphicFrame macro="">
      <xdr:nvGraphicFramePr>
        <xdr:cNvPr id="29" name="Chart 28">
          <a:extLst>
            <a:ext uri="{FF2B5EF4-FFF2-40B4-BE49-F238E27FC236}">
              <a16:creationId xmlns:a16="http://schemas.microsoft.com/office/drawing/2014/main" id="{F1D65FA3-5D5C-9F60-ABA6-B8E8B0A464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7620</xdr:colOff>
      <xdr:row>108</xdr:row>
      <xdr:rowOff>163830</xdr:rowOff>
    </xdr:from>
    <xdr:to>
      <xdr:col>13</xdr:col>
      <xdr:colOff>312420</xdr:colOff>
      <xdr:row>123</xdr:row>
      <xdr:rowOff>163830</xdr:rowOff>
    </xdr:to>
    <xdr:graphicFrame macro="">
      <xdr:nvGraphicFramePr>
        <xdr:cNvPr id="30" name="Chart 29">
          <a:extLst>
            <a:ext uri="{FF2B5EF4-FFF2-40B4-BE49-F238E27FC236}">
              <a16:creationId xmlns:a16="http://schemas.microsoft.com/office/drawing/2014/main" id="{5A560455-A3BE-EDFF-039C-66DF4D3C5C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1821180</xdr:colOff>
      <xdr:row>126</xdr:row>
      <xdr:rowOff>179070</xdr:rowOff>
    </xdr:from>
    <xdr:to>
      <xdr:col>13</xdr:col>
      <xdr:colOff>297180</xdr:colOff>
      <xdr:row>141</xdr:row>
      <xdr:rowOff>179070</xdr:rowOff>
    </xdr:to>
    <xdr:graphicFrame macro="">
      <xdr:nvGraphicFramePr>
        <xdr:cNvPr id="31" name="Chart 30">
          <a:extLst>
            <a:ext uri="{FF2B5EF4-FFF2-40B4-BE49-F238E27FC236}">
              <a16:creationId xmlns:a16="http://schemas.microsoft.com/office/drawing/2014/main" id="{2D16AFAE-AFF8-4086-A6BB-B8502F1E5D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0</xdr:colOff>
      <xdr:row>144</xdr:row>
      <xdr:rowOff>171450</xdr:rowOff>
    </xdr:from>
    <xdr:to>
      <xdr:col>13</xdr:col>
      <xdr:colOff>304800</xdr:colOff>
      <xdr:row>159</xdr:row>
      <xdr:rowOff>171450</xdr:rowOff>
    </xdr:to>
    <xdr:graphicFrame macro="">
      <xdr:nvGraphicFramePr>
        <xdr:cNvPr id="32" name="Chart 31">
          <a:extLst>
            <a:ext uri="{FF2B5EF4-FFF2-40B4-BE49-F238E27FC236}">
              <a16:creationId xmlns:a16="http://schemas.microsoft.com/office/drawing/2014/main" id="{FB1518FE-484C-3F78-28BA-E93BCC4EB29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7620</xdr:colOff>
      <xdr:row>163</xdr:row>
      <xdr:rowOff>19050</xdr:rowOff>
    </xdr:from>
    <xdr:to>
      <xdr:col>13</xdr:col>
      <xdr:colOff>312420</xdr:colOff>
      <xdr:row>178</xdr:row>
      <xdr:rowOff>19050</xdr:rowOff>
    </xdr:to>
    <xdr:graphicFrame macro="">
      <xdr:nvGraphicFramePr>
        <xdr:cNvPr id="33" name="Chart 32">
          <a:extLst>
            <a:ext uri="{FF2B5EF4-FFF2-40B4-BE49-F238E27FC236}">
              <a16:creationId xmlns:a16="http://schemas.microsoft.com/office/drawing/2014/main" id="{DF015269-BF45-27FF-935E-22E2595C7E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38100</xdr:colOff>
      <xdr:row>181</xdr:row>
      <xdr:rowOff>3810</xdr:rowOff>
    </xdr:from>
    <xdr:to>
      <xdr:col>13</xdr:col>
      <xdr:colOff>342900</xdr:colOff>
      <xdr:row>196</xdr:row>
      <xdr:rowOff>3810</xdr:rowOff>
    </xdr:to>
    <xdr:graphicFrame macro="">
      <xdr:nvGraphicFramePr>
        <xdr:cNvPr id="34" name="Chart 33">
          <a:extLst>
            <a:ext uri="{FF2B5EF4-FFF2-40B4-BE49-F238E27FC236}">
              <a16:creationId xmlns:a16="http://schemas.microsoft.com/office/drawing/2014/main" id="{AA535DA7-F6A7-D981-A174-91715BCA03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5</xdr:col>
      <xdr:colOff>1821180</xdr:colOff>
      <xdr:row>199</xdr:row>
      <xdr:rowOff>57150</xdr:rowOff>
    </xdr:from>
    <xdr:to>
      <xdr:col>13</xdr:col>
      <xdr:colOff>297180</xdr:colOff>
      <xdr:row>214</xdr:row>
      <xdr:rowOff>57150</xdr:rowOff>
    </xdr:to>
    <xdr:graphicFrame macro="">
      <xdr:nvGraphicFramePr>
        <xdr:cNvPr id="35" name="Chart 34">
          <a:extLst>
            <a:ext uri="{FF2B5EF4-FFF2-40B4-BE49-F238E27FC236}">
              <a16:creationId xmlns:a16="http://schemas.microsoft.com/office/drawing/2014/main" id="{A0169A31-0F2C-0023-7122-A6B4259DE3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xdr:col>
      <xdr:colOff>1805940</xdr:colOff>
      <xdr:row>217</xdr:row>
      <xdr:rowOff>11430</xdr:rowOff>
    </xdr:from>
    <xdr:to>
      <xdr:col>13</xdr:col>
      <xdr:colOff>281940</xdr:colOff>
      <xdr:row>232</xdr:row>
      <xdr:rowOff>11430</xdr:rowOff>
    </xdr:to>
    <xdr:graphicFrame macro="">
      <xdr:nvGraphicFramePr>
        <xdr:cNvPr id="36" name="Chart 35">
          <a:extLst>
            <a:ext uri="{FF2B5EF4-FFF2-40B4-BE49-F238E27FC236}">
              <a16:creationId xmlns:a16="http://schemas.microsoft.com/office/drawing/2014/main" id="{D41B758E-872B-0122-7BAE-2B54A0782A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0</xdr:colOff>
      <xdr:row>236</xdr:row>
      <xdr:rowOff>11430</xdr:rowOff>
    </xdr:from>
    <xdr:to>
      <xdr:col>13</xdr:col>
      <xdr:colOff>304800</xdr:colOff>
      <xdr:row>251</xdr:row>
      <xdr:rowOff>11430</xdr:rowOff>
    </xdr:to>
    <xdr:graphicFrame macro="">
      <xdr:nvGraphicFramePr>
        <xdr:cNvPr id="37" name="Chart 36">
          <a:extLst>
            <a:ext uri="{FF2B5EF4-FFF2-40B4-BE49-F238E27FC236}">
              <a16:creationId xmlns:a16="http://schemas.microsoft.com/office/drawing/2014/main" id="{F0172F45-9D3D-2A1F-71B7-3999278B18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6</xdr:col>
      <xdr:colOff>30480</xdr:colOff>
      <xdr:row>253</xdr:row>
      <xdr:rowOff>87630</xdr:rowOff>
    </xdr:from>
    <xdr:to>
      <xdr:col>13</xdr:col>
      <xdr:colOff>335280</xdr:colOff>
      <xdr:row>268</xdr:row>
      <xdr:rowOff>87630</xdr:rowOff>
    </xdr:to>
    <xdr:graphicFrame macro="">
      <xdr:nvGraphicFramePr>
        <xdr:cNvPr id="38" name="Chart 37">
          <a:extLst>
            <a:ext uri="{FF2B5EF4-FFF2-40B4-BE49-F238E27FC236}">
              <a16:creationId xmlns:a16="http://schemas.microsoft.com/office/drawing/2014/main" id="{4E171A27-096B-FCE7-2C43-D37B5CF5E1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6</xdr:col>
      <xdr:colOff>7620</xdr:colOff>
      <xdr:row>271</xdr:row>
      <xdr:rowOff>19050</xdr:rowOff>
    </xdr:from>
    <xdr:to>
      <xdr:col>13</xdr:col>
      <xdr:colOff>312420</xdr:colOff>
      <xdr:row>286</xdr:row>
      <xdr:rowOff>19050</xdr:rowOff>
    </xdr:to>
    <xdr:graphicFrame macro="">
      <xdr:nvGraphicFramePr>
        <xdr:cNvPr id="39" name="Chart 38">
          <a:extLst>
            <a:ext uri="{FF2B5EF4-FFF2-40B4-BE49-F238E27FC236}">
              <a16:creationId xmlns:a16="http://schemas.microsoft.com/office/drawing/2014/main" id="{28DE500A-FBFD-790D-70F3-1C348F3697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6</xdr:col>
      <xdr:colOff>0</xdr:colOff>
      <xdr:row>289</xdr:row>
      <xdr:rowOff>3810</xdr:rowOff>
    </xdr:from>
    <xdr:to>
      <xdr:col>13</xdr:col>
      <xdr:colOff>304800</xdr:colOff>
      <xdr:row>304</xdr:row>
      <xdr:rowOff>3810</xdr:rowOff>
    </xdr:to>
    <xdr:graphicFrame macro="">
      <xdr:nvGraphicFramePr>
        <xdr:cNvPr id="40" name="Chart 39">
          <a:extLst>
            <a:ext uri="{FF2B5EF4-FFF2-40B4-BE49-F238E27FC236}">
              <a16:creationId xmlns:a16="http://schemas.microsoft.com/office/drawing/2014/main" id="{F3771D99-2384-E521-ADC7-3484D50862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6</xdr:col>
      <xdr:colOff>15240</xdr:colOff>
      <xdr:row>307</xdr:row>
      <xdr:rowOff>26670</xdr:rowOff>
    </xdr:from>
    <xdr:to>
      <xdr:col>13</xdr:col>
      <xdr:colOff>320040</xdr:colOff>
      <xdr:row>322</xdr:row>
      <xdr:rowOff>26670</xdr:rowOff>
    </xdr:to>
    <xdr:graphicFrame macro="">
      <xdr:nvGraphicFramePr>
        <xdr:cNvPr id="41" name="Chart 40">
          <a:extLst>
            <a:ext uri="{FF2B5EF4-FFF2-40B4-BE49-F238E27FC236}">
              <a16:creationId xmlns:a16="http://schemas.microsoft.com/office/drawing/2014/main" id="{D2E35D92-AB81-93CB-792A-87E6724756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xdr:col>
      <xdr:colOff>7620</xdr:colOff>
      <xdr:row>324</xdr:row>
      <xdr:rowOff>179070</xdr:rowOff>
    </xdr:from>
    <xdr:to>
      <xdr:col>13</xdr:col>
      <xdr:colOff>312420</xdr:colOff>
      <xdr:row>339</xdr:row>
      <xdr:rowOff>179070</xdr:rowOff>
    </xdr:to>
    <xdr:graphicFrame macro="">
      <xdr:nvGraphicFramePr>
        <xdr:cNvPr id="42" name="Chart 41">
          <a:extLst>
            <a:ext uri="{FF2B5EF4-FFF2-40B4-BE49-F238E27FC236}">
              <a16:creationId xmlns:a16="http://schemas.microsoft.com/office/drawing/2014/main" id="{58271045-D46D-A4B3-36A3-839BF0DEA0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xdr:col>
      <xdr:colOff>11430</xdr:colOff>
      <xdr:row>343</xdr:row>
      <xdr:rowOff>55245</xdr:rowOff>
    </xdr:from>
    <xdr:to>
      <xdr:col>13</xdr:col>
      <xdr:colOff>306705</xdr:colOff>
      <xdr:row>358</xdr:row>
      <xdr:rowOff>55245</xdr:rowOff>
    </xdr:to>
    <xdr:graphicFrame macro="">
      <xdr:nvGraphicFramePr>
        <xdr:cNvPr id="43" name="Chart 42">
          <a:extLst>
            <a:ext uri="{FF2B5EF4-FFF2-40B4-BE49-F238E27FC236}">
              <a16:creationId xmlns:a16="http://schemas.microsoft.com/office/drawing/2014/main" id="{A8D45A51-09C4-4FC2-D083-FE2D0EAFE5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5.xml><?xml version="1.0" encoding="utf-8"?>
<xdr:wsDr xmlns:xdr="http://schemas.openxmlformats.org/drawingml/2006/spreadsheetDrawing" xmlns:a="http://schemas.openxmlformats.org/drawingml/2006/main">
  <xdr:oneCellAnchor>
    <xdr:from>
      <xdr:col>0</xdr:col>
      <xdr:colOff>264160</xdr:colOff>
      <xdr:row>1</xdr:row>
      <xdr:rowOff>12700</xdr:rowOff>
    </xdr:from>
    <xdr:ext cx="5667429" cy="6743700"/>
    <xdr:sp macro="" textlink="">
      <xdr:nvSpPr>
        <xdr:cNvPr id="2" name="TextBox 1">
          <a:extLst>
            <a:ext uri="{FF2B5EF4-FFF2-40B4-BE49-F238E27FC236}">
              <a16:creationId xmlns:a16="http://schemas.microsoft.com/office/drawing/2014/main" id="{DE516877-2DF1-6749-A25E-CE418931E041}"/>
            </a:ext>
          </a:extLst>
        </xdr:cNvPr>
        <xdr:cNvSpPr txBox="1"/>
      </xdr:nvSpPr>
      <xdr:spPr>
        <a:xfrm>
          <a:off x="264160" y="203200"/>
          <a:ext cx="5667429" cy="6743700"/>
        </a:xfrm>
        <a:prstGeom prst="rect">
          <a:avLst/>
        </a:prstGeom>
        <a:noFill/>
        <a:ln>
          <a:solidFill>
            <a:schemeClr val="tx1">
              <a:lumMod val="50000"/>
              <a:lumOff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oAutofit/>
        </a:bodyPr>
        <a:lstStyle/>
        <a:p>
          <a:pPr algn="ctr"/>
          <a:r>
            <a:rPr lang="en-US" sz="1600" b="1" baseline="0"/>
            <a:t>NFL Data Analytics</a:t>
          </a:r>
        </a:p>
        <a:p>
          <a:endParaRPr lang="en-US" sz="1600" b="1" baseline="0"/>
        </a:p>
        <a:p>
          <a:endParaRPr lang="en-US" sz="1600" b="1" baseline="0"/>
        </a:p>
        <a:p>
          <a:r>
            <a:rPr lang="en-US" sz="1400" b="0">
              <a:latin typeface="+mn-lt"/>
              <a:cs typeface="Arial" panose="020B0604020202020204" pitchFamily="34" charset="0"/>
            </a:rPr>
            <a:t>This automated spreadsheet is intended</a:t>
          </a:r>
          <a:r>
            <a:rPr lang="en-US" sz="1400" b="0" baseline="0">
              <a:latin typeface="+mn-lt"/>
              <a:cs typeface="Arial" panose="020B0604020202020204" pitchFamily="34" charset="0"/>
            </a:rPr>
            <a:t> to give NFL franchises a glimpse into how data analytics can be used to forecast and find correlations between team success and fan engagement. We looked at the data for each of the following NFL teams:</a:t>
          </a:r>
        </a:p>
        <a:p>
          <a:endParaRPr lang="en-US" sz="1400" b="0" i="0" baseline="0">
            <a:latin typeface="+mn-lt"/>
            <a:cs typeface="Arial" panose="020B0604020202020204" pitchFamily="34" charset="0"/>
          </a:endParaRPr>
        </a:p>
        <a:p>
          <a:r>
            <a:rPr lang="en-US" sz="1400" b="0" i="0" baseline="0">
              <a:latin typeface="+mn-lt"/>
              <a:cs typeface="Arial" panose="020B0604020202020204" pitchFamily="34" charset="0"/>
            </a:rPr>
            <a:t>- Arizona Cardinals</a:t>
          </a:r>
        </a:p>
        <a:p>
          <a:r>
            <a:rPr lang="en-US" sz="1400" b="0" i="0" baseline="0">
              <a:latin typeface="+mn-lt"/>
              <a:cs typeface="Arial" panose="020B0604020202020204" pitchFamily="34" charset="0"/>
            </a:rPr>
            <a:t>- Seattle Seahawks</a:t>
          </a:r>
        </a:p>
        <a:p>
          <a:r>
            <a:rPr lang="en-US" sz="1400" b="0" i="0" baseline="0">
              <a:latin typeface="+mn-lt"/>
              <a:cs typeface="Arial" panose="020B0604020202020204" pitchFamily="34" charset="0"/>
            </a:rPr>
            <a:t>- LA/STL Rams</a:t>
          </a:r>
        </a:p>
        <a:p>
          <a:r>
            <a:rPr lang="en-US" sz="1400" b="0" i="0" baseline="0">
              <a:latin typeface="+mn-lt"/>
              <a:cs typeface="Arial" panose="020B0604020202020204" pitchFamily="34" charset="0"/>
            </a:rPr>
            <a:t>- San Francisco 49ers</a:t>
          </a:r>
        </a:p>
        <a:p>
          <a:endParaRPr lang="en-US" sz="1400" b="0" i="0" baseline="0">
            <a:latin typeface="+mn-lt"/>
            <a:cs typeface="Arial" panose="020B0604020202020204" pitchFamily="34" charset="0"/>
          </a:endParaRPr>
        </a:p>
        <a:p>
          <a:r>
            <a:rPr lang="en-US" sz="1400" b="0" i="0" baseline="0">
              <a:latin typeface="+mn-lt"/>
              <a:cs typeface="Arial" panose="020B0604020202020204" pitchFamily="34" charset="0"/>
            </a:rPr>
            <a:t>To view a PDF of each team, please click the button below</a:t>
          </a:r>
        </a:p>
        <a:p>
          <a:endParaRPr lang="en-US" sz="1400" b="0" i="0" baseline="0">
            <a:latin typeface="+mn-lt"/>
            <a:cs typeface="Arial" panose="020B0604020202020204" pitchFamily="34" charset="0"/>
          </a:endParaRPr>
        </a:p>
        <a:p>
          <a:endParaRPr lang="en-US" sz="1400" b="0" i="0" baseline="0">
            <a:latin typeface="+mn-lt"/>
            <a:cs typeface="Arial" panose="020B0604020202020204" pitchFamily="34" charset="0"/>
          </a:endParaRPr>
        </a:p>
        <a:p>
          <a:endParaRPr lang="en-US" sz="1400" b="0" i="0" baseline="0">
            <a:latin typeface="+mn-lt"/>
            <a:cs typeface="Arial" panose="020B0604020202020204" pitchFamily="34" charset="0"/>
          </a:endParaRPr>
        </a:p>
        <a:p>
          <a:endParaRPr lang="en-US" sz="1400" b="0" i="0" baseline="0">
            <a:latin typeface="+mn-lt"/>
            <a:cs typeface="Arial" panose="020B0604020202020204" pitchFamily="34" charset="0"/>
          </a:endParaRPr>
        </a:p>
        <a:p>
          <a:endParaRPr lang="en-US" sz="1400" b="0" i="0" baseline="0">
            <a:latin typeface="+mn-lt"/>
            <a:cs typeface="Arial" panose="020B0604020202020204" pitchFamily="34" charset="0"/>
          </a:endParaRPr>
        </a:p>
      </xdr:txBody>
    </xdr:sp>
    <xdr:clientData/>
  </xdr:oneCellAnchor>
  <mc:AlternateContent xmlns:mc="http://schemas.openxmlformats.org/markup-compatibility/2006">
    <mc:Choice xmlns:a14="http://schemas.microsoft.com/office/drawing/2010/main" Requires="a14">
      <xdr:twoCellAnchor editAs="oneCell">
        <xdr:from>
          <xdr:col>2</xdr:col>
          <xdr:colOff>101600</xdr:colOff>
          <xdr:row>28</xdr:row>
          <xdr:rowOff>25400</xdr:rowOff>
        </xdr:from>
        <xdr:to>
          <xdr:col>7</xdr:col>
          <xdr:colOff>139700</xdr:colOff>
          <xdr:row>32</xdr:row>
          <xdr:rowOff>25400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Calibri" pitchFamily="2" charset="0"/>
                  <a:cs typeface="Calibri" pitchFamily="2" charset="0"/>
                </a:rPr>
                <a:t>Generate Forecast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403860</xdr:colOff>
      <xdr:row>16</xdr:row>
      <xdr:rowOff>137160</xdr:rowOff>
    </xdr:from>
    <xdr:to>
      <xdr:col>11</xdr:col>
      <xdr:colOff>434340</xdr:colOff>
      <xdr:row>30</xdr:row>
      <xdr:rowOff>91440</xdr:rowOff>
    </xdr:to>
    <xdr:graphicFrame macro="">
      <xdr:nvGraphicFramePr>
        <xdr:cNvPr id="2" name="Chart 1">
          <a:extLst>
            <a:ext uri="{FF2B5EF4-FFF2-40B4-BE49-F238E27FC236}">
              <a16:creationId xmlns:a16="http://schemas.microsoft.com/office/drawing/2014/main" id="{02B3F721-5114-474C-972C-D8E6B56470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373380</xdr:colOff>
      <xdr:row>16</xdr:row>
      <xdr:rowOff>129540</xdr:rowOff>
    </xdr:from>
    <xdr:to>
      <xdr:col>11</xdr:col>
      <xdr:colOff>457200</xdr:colOff>
      <xdr:row>30</xdr:row>
      <xdr:rowOff>121920</xdr:rowOff>
    </xdr:to>
    <xdr:graphicFrame macro="">
      <xdr:nvGraphicFramePr>
        <xdr:cNvPr id="3" name="Chart 2">
          <a:extLst>
            <a:ext uri="{FF2B5EF4-FFF2-40B4-BE49-F238E27FC236}">
              <a16:creationId xmlns:a16="http://schemas.microsoft.com/office/drawing/2014/main" id="{DB920ADF-00F7-461F-A9B2-29AD278408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373380</xdr:colOff>
      <xdr:row>16</xdr:row>
      <xdr:rowOff>129540</xdr:rowOff>
    </xdr:from>
    <xdr:to>
      <xdr:col>11</xdr:col>
      <xdr:colOff>449580</xdr:colOff>
      <xdr:row>30</xdr:row>
      <xdr:rowOff>91440</xdr:rowOff>
    </xdr:to>
    <xdr:graphicFrame macro="">
      <xdr:nvGraphicFramePr>
        <xdr:cNvPr id="3" name="Chart 2">
          <a:extLst>
            <a:ext uri="{FF2B5EF4-FFF2-40B4-BE49-F238E27FC236}">
              <a16:creationId xmlns:a16="http://schemas.microsoft.com/office/drawing/2014/main" id="{DA02ECF8-47BE-4DA1-820C-D524C9B76D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365760</xdr:colOff>
      <xdr:row>16</xdr:row>
      <xdr:rowOff>137160</xdr:rowOff>
    </xdr:from>
    <xdr:to>
      <xdr:col>11</xdr:col>
      <xdr:colOff>441960</xdr:colOff>
      <xdr:row>30</xdr:row>
      <xdr:rowOff>129540</xdr:rowOff>
    </xdr:to>
    <xdr:graphicFrame macro="">
      <xdr:nvGraphicFramePr>
        <xdr:cNvPr id="3" name="Chart 2">
          <a:extLst>
            <a:ext uri="{FF2B5EF4-FFF2-40B4-BE49-F238E27FC236}">
              <a16:creationId xmlns:a16="http://schemas.microsoft.com/office/drawing/2014/main" id="{37CAD3B6-0A09-456E-9078-51CDE3AC25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371808-95CC-49EE-8A13-4733140205BE}">
  <sheetPr codeName="Sheet1"/>
  <dimension ref="A1:V361"/>
  <sheetViews>
    <sheetView topLeftCell="A336" workbookViewId="0">
      <selection activeCell="S351" sqref="S351"/>
    </sheetView>
  </sheetViews>
  <sheetFormatPr baseColWidth="10" defaultColWidth="8.6640625" defaultRowHeight="15" x14ac:dyDescent="0.2"/>
  <cols>
    <col min="5" max="5" width="17" bestFit="1" customWidth="1"/>
    <col min="6" max="6" width="11.6640625" bestFit="1" customWidth="1"/>
    <col min="7" max="7" width="19.1640625" customWidth="1"/>
    <col min="16" max="16" width="7.1640625" bestFit="1" customWidth="1"/>
    <col min="17" max="17" width="10.6640625" bestFit="1" customWidth="1"/>
    <col min="18" max="18" width="10.5" bestFit="1" customWidth="1"/>
    <col min="21" max="21" width="10.5" bestFit="1" customWidth="1"/>
    <col min="22" max="22" width="20.5" bestFit="1" customWidth="1"/>
  </cols>
  <sheetData>
    <row r="1" spans="1:22" x14ac:dyDescent="0.2">
      <c r="A1" t="s">
        <v>0</v>
      </c>
      <c r="B1" t="s">
        <v>1</v>
      </c>
      <c r="C1" t="s">
        <v>2</v>
      </c>
      <c r="D1" t="s">
        <v>3</v>
      </c>
      <c r="E1" t="s">
        <v>4</v>
      </c>
      <c r="F1" t="s">
        <v>5</v>
      </c>
      <c r="P1" t="s">
        <v>0</v>
      </c>
      <c r="Q1" t="s">
        <v>1</v>
      </c>
      <c r="R1" t="s">
        <v>2</v>
      </c>
      <c r="S1" t="s">
        <v>6</v>
      </c>
      <c r="T1" t="s">
        <v>7</v>
      </c>
      <c r="U1" t="s">
        <v>8</v>
      </c>
      <c r="V1" t="s">
        <v>9</v>
      </c>
    </row>
    <row r="2" spans="1:22" x14ac:dyDescent="0.2">
      <c r="A2" t="s">
        <v>10</v>
      </c>
      <c r="B2" t="s">
        <v>11</v>
      </c>
      <c r="C2">
        <v>2000</v>
      </c>
      <c r="D2">
        <v>1</v>
      </c>
      <c r="E2">
        <v>77434</v>
      </c>
      <c r="F2" t="s">
        <v>12</v>
      </c>
    </row>
    <row r="3" spans="1:22" x14ac:dyDescent="0.2">
      <c r="A3" t="s">
        <v>10</v>
      </c>
      <c r="B3" t="s">
        <v>11</v>
      </c>
      <c r="C3">
        <v>2000</v>
      </c>
      <c r="D3">
        <v>2</v>
      </c>
      <c r="E3">
        <v>66009</v>
      </c>
      <c r="F3" t="s">
        <v>13</v>
      </c>
    </row>
    <row r="4" spans="1:22" x14ac:dyDescent="0.2">
      <c r="A4" t="s">
        <v>10</v>
      </c>
      <c r="B4" t="s">
        <v>11</v>
      </c>
      <c r="C4">
        <v>2000</v>
      </c>
      <c r="D4">
        <v>3</v>
      </c>
      <c r="E4">
        <v>0</v>
      </c>
      <c r="F4" t="s">
        <v>14</v>
      </c>
    </row>
    <row r="5" spans="1:22" x14ac:dyDescent="0.2">
      <c r="A5" t="s">
        <v>10</v>
      </c>
      <c r="B5" t="s">
        <v>11</v>
      </c>
      <c r="C5">
        <v>2000</v>
      </c>
      <c r="D5">
        <v>4</v>
      </c>
      <c r="E5">
        <v>71801</v>
      </c>
      <c r="F5" t="s">
        <v>15</v>
      </c>
    </row>
    <row r="6" spans="1:22" x14ac:dyDescent="0.2">
      <c r="A6" t="s">
        <v>10</v>
      </c>
      <c r="B6" t="s">
        <v>11</v>
      </c>
      <c r="C6">
        <v>2000</v>
      </c>
      <c r="D6">
        <v>5</v>
      </c>
      <c r="E6">
        <v>66985</v>
      </c>
      <c r="F6" t="s">
        <v>12</v>
      </c>
    </row>
    <row r="7" spans="1:22" x14ac:dyDescent="0.2">
      <c r="A7" t="s">
        <v>10</v>
      </c>
      <c r="B7" t="s">
        <v>11</v>
      </c>
      <c r="C7">
        <v>2000</v>
      </c>
      <c r="D7">
        <v>6</v>
      </c>
      <c r="E7">
        <v>44296</v>
      </c>
      <c r="F7" t="s">
        <v>15</v>
      </c>
    </row>
    <row r="8" spans="1:22" x14ac:dyDescent="0.2">
      <c r="A8" t="s">
        <v>10</v>
      </c>
      <c r="B8" t="s">
        <v>11</v>
      </c>
      <c r="C8">
        <v>2000</v>
      </c>
      <c r="D8">
        <v>7</v>
      </c>
      <c r="E8">
        <v>38293</v>
      </c>
      <c r="F8" t="s">
        <v>13</v>
      </c>
    </row>
    <row r="9" spans="1:22" x14ac:dyDescent="0.2">
      <c r="A9" t="s">
        <v>10</v>
      </c>
      <c r="B9" t="s">
        <v>11</v>
      </c>
      <c r="C9">
        <v>2000</v>
      </c>
      <c r="D9">
        <v>8</v>
      </c>
      <c r="E9">
        <v>62981</v>
      </c>
      <c r="F9" t="s">
        <v>12</v>
      </c>
      <c r="P9" t="s">
        <v>10</v>
      </c>
      <c r="Q9" t="s">
        <v>11</v>
      </c>
      <c r="R9" t="s">
        <v>16</v>
      </c>
      <c r="S9">
        <v>3</v>
      </c>
      <c r="T9">
        <v>13</v>
      </c>
      <c r="U9" t="s">
        <v>17</v>
      </c>
      <c r="V9" t="s">
        <v>18</v>
      </c>
    </row>
    <row r="10" spans="1:22" x14ac:dyDescent="0.2">
      <c r="A10" t="s">
        <v>10</v>
      </c>
      <c r="B10" t="s">
        <v>11</v>
      </c>
      <c r="C10">
        <v>2000</v>
      </c>
      <c r="D10">
        <v>9</v>
      </c>
      <c r="E10">
        <v>35286</v>
      </c>
      <c r="F10" t="s">
        <v>13</v>
      </c>
    </row>
    <row r="11" spans="1:22" x14ac:dyDescent="0.2">
      <c r="A11" t="s">
        <v>10</v>
      </c>
      <c r="B11" t="s">
        <v>11</v>
      </c>
      <c r="C11">
        <v>2000</v>
      </c>
      <c r="D11">
        <v>10</v>
      </c>
      <c r="E11">
        <v>52244</v>
      </c>
      <c r="F11" t="s">
        <v>13</v>
      </c>
    </row>
    <row r="12" spans="1:22" x14ac:dyDescent="0.2">
      <c r="A12" t="s">
        <v>10</v>
      </c>
      <c r="B12" t="s">
        <v>11</v>
      </c>
      <c r="C12">
        <v>2000</v>
      </c>
      <c r="D12">
        <v>11</v>
      </c>
      <c r="E12">
        <v>64223</v>
      </c>
      <c r="F12" t="s">
        <v>12</v>
      </c>
    </row>
    <row r="13" spans="1:22" x14ac:dyDescent="0.2">
      <c r="A13" t="s">
        <v>10</v>
      </c>
      <c r="B13" t="s">
        <v>11</v>
      </c>
      <c r="C13">
        <v>2000</v>
      </c>
      <c r="D13">
        <v>12</v>
      </c>
      <c r="E13">
        <v>65356</v>
      </c>
      <c r="F13" t="s">
        <v>12</v>
      </c>
    </row>
    <row r="14" spans="1:22" x14ac:dyDescent="0.2">
      <c r="A14" t="s">
        <v>10</v>
      </c>
      <c r="B14" t="s">
        <v>11</v>
      </c>
      <c r="C14">
        <v>2000</v>
      </c>
      <c r="D14">
        <v>13</v>
      </c>
      <c r="E14">
        <v>42094</v>
      </c>
      <c r="F14" t="s">
        <v>13</v>
      </c>
    </row>
    <row r="15" spans="1:22" x14ac:dyDescent="0.2">
      <c r="A15" t="s">
        <v>10</v>
      </c>
      <c r="B15" t="s">
        <v>11</v>
      </c>
      <c r="C15">
        <v>2000</v>
      </c>
      <c r="D15">
        <v>14</v>
      </c>
      <c r="E15">
        <v>50289</v>
      </c>
      <c r="F15" t="s">
        <v>12</v>
      </c>
    </row>
    <row r="16" spans="1:22" x14ac:dyDescent="0.2">
      <c r="A16" t="s">
        <v>10</v>
      </c>
      <c r="B16" t="s">
        <v>11</v>
      </c>
      <c r="C16">
        <v>2000</v>
      </c>
      <c r="D16">
        <v>15</v>
      </c>
      <c r="E16">
        <v>53472</v>
      </c>
      <c r="F16" t="s">
        <v>12</v>
      </c>
    </row>
    <row r="17" spans="1:22" x14ac:dyDescent="0.2">
      <c r="A17" t="s">
        <v>10</v>
      </c>
      <c r="B17" t="s">
        <v>11</v>
      </c>
      <c r="C17">
        <v>2000</v>
      </c>
      <c r="D17">
        <v>16</v>
      </c>
      <c r="E17">
        <v>37452</v>
      </c>
      <c r="F17" t="s">
        <v>13</v>
      </c>
    </row>
    <row r="18" spans="1:22" x14ac:dyDescent="0.2">
      <c r="A18" t="s">
        <v>10</v>
      </c>
      <c r="B18" t="s">
        <v>11</v>
      </c>
      <c r="C18">
        <v>2000</v>
      </c>
      <c r="D18">
        <v>17</v>
      </c>
      <c r="E18">
        <v>65711</v>
      </c>
      <c r="F18" t="s">
        <v>12</v>
      </c>
      <c r="G18">
        <f>AVERAGEIF(F2:F18,"home",E2:E18)</f>
        <v>48434.375</v>
      </c>
    </row>
    <row r="19" spans="1:22" x14ac:dyDescent="0.2">
      <c r="A19" t="s">
        <v>0</v>
      </c>
      <c r="B19" t="s">
        <v>1</v>
      </c>
      <c r="C19" t="s">
        <v>2</v>
      </c>
      <c r="D19" t="s">
        <v>3</v>
      </c>
      <c r="E19" t="s">
        <v>4</v>
      </c>
      <c r="P19" t="s">
        <v>0</v>
      </c>
      <c r="Q19" t="s">
        <v>1</v>
      </c>
      <c r="R19" t="s">
        <v>2</v>
      </c>
      <c r="S19" t="s">
        <v>6</v>
      </c>
      <c r="T19" t="s">
        <v>7</v>
      </c>
      <c r="U19" t="s">
        <v>8</v>
      </c>
      <c r="V19" t="s">
        <v>9</v>
      </c>
    </row>
    <row r="20" spans="1:22" x14ac:dyDescent="0.2">
      <c r="A20" t="s">
        <v>10</v>
      </c>
      <c r="B20" t="s">
        <v>11</v>
      </c>
      <c r="C20">
        <v>2001</v>
      </c>
      <c r="D20">
        <v>1</v>
      </c>
      <c r="E20">
        <v>0</v>
      </c>
      <c r="F20" t="s">
        <v>14</v>
      </c>
    </row>
    <row r="21" spans="1:22" x14ac:dyDescent="0.2">
      <c r="A21" t="s">
        <v>10</v>
      </c>
      <c r="B21" t="s">
        <v>11</v>
      </c>
      <c r="C21">
        <v>2001</v>
      </c>
      <c r="D21">
        <v>2</v>
      </c>
      <c r="E21">
        <v>50913</v>
      </c>
      <c r="F21" t="s">
        <v>15</v>
      </c>
    </row>
    <row r="22" spans="1:22" x14ac:dyDescent="0.2">
      <c r="A22" t="s">
        <v>10</v>
      </c>
      <c r="B22" t="s">
        <v>11</v>
      </c>
      <c r="C22">
        <v>2001</v>
      </c>
      <c r="D22">
        <v>3</v>
      </c>
      <c r="E22">
        <v>28878</v>
      </c>
      <c r="F22" t="s">
        <v>13</v>
      </c>
    </row>
    <row r="23" spans="1:22" x14ac:dyDescent="0.2">
      <c r="A23" t="s">
        <v>10</v>
      </c>
      <c r="B23" t="s">
        <v>11</v>
      </c>
      <c r="C23">
        <v>2001</v>
      </c>
      <c r="D23">
        <v>4</v>
      </c>
      <c r="E23">
        <v>66360</v>
      </c>
      <c r="F23" t="s">
        <v>12</v>
      </c>
    </row>
    <row r="24" spans="1:22" x14ac:dyDescent="0.2">
      <c r="A24" t="s">
        <v>10</v>
      </c>
      <c r="B24" t="s">
        <v>11</v>
      </c>
      <c r="C24">
        <v>2001</v>
      </c>
      <c r="D24">
        <v>5</v>
      </c>
      <c r="E24">
        <v>66944</v>
      </c>
      <c r="F24" t="s">
        <v>12</v>
      </c>
    </row>
    <row r="25" spans="1:22" x14ac:dyDescent="0.2">
      <c r="A25" t="s">
        <v>10</v>
      </c>
      <c r="B25" t="s">
        <v>11</v>
      </c>
      <c r="C25">
        <v>2001</v>
      </c>
      <c r="D25">
        <v>6</v>
      </c>
      <c r="E25">
        <v>35916</v>
      </c>
      <c r="F25" t="s">
        <v>13</v>
      </c>
    </row>
    <row r="26" spans="1:22" x14ac:dyDescent="0.2">
      <c r="A26" t="s">
        <v>10</v>
      </c>
      <c r="B26" t="s">
        <v>11</v>
      </c>
      <c r="C26">
        <v>2001</v>
      </c>
      <c r="D26">
        <v>7</v>
      </c>
      <c r="E26">
        <v>63114</v>
      </c>
      <c r="F26" t="s">
        <v>12</v>
      </c>
    </row>
    <row r="27" spans="1:22" x14ac:dyDescent="0.2">
      <c r="A27" t="s">
        <v>10</v>
      </c>
      <c r="B27" t="s">
        <v>11</v>
      </c>
      <c r="C27">
        <v>2001</v>
      </c>
      <c r="D27">
        <v>8</v>
      </c>
      <c r="E27">
        <v>33430</v>
      </c>
      <c r="F27" t="s">
        <v>13</v>
      </c>
      <c r="P27" t="s">
        <v>10</v>
      </c>
      <c r="Q27" t="s">
        <v>11</v>
      </c>
      <c r="R27" t="s">
        <v>19</v>
      </c>
      <c r="S27">
        <v>7</v>
      </c>
      <c r="T27">
        <v>9</v>
      </c>
      <c r="U27" t="s">
        <v>17</v>
      </c>
      <c r="V27" t="s">
        <v>18</v>
      </c>
    </row>
    <row r="28" spans="1:22" x14ac:dyDescent="0.2">
      <c r="A28" t="s">
        <v>10</v>
      </c>
      <c r="B28" t="s">
        <v>11</v>
      </c>
      <c r="C28">
        <v>2001</v>
      </c>
      <c r="D28">
        <v>9</v>
      </c>
      <c r="E28">
        <v>36917</v>
      </c>
      <c r="F28" t="s">
        <v>15</v>
      </c>
    </row>
    <row r="29" spans="1:22" x14ac:dyDescent="0.2">
      <c r="A29" t="s">
        <v>10</v>
      </c>
      <c r="B29" t="s">
        <v>11</v>
      </c>
      <c r="C29">
        <v>2001</v>
      </c>
      <c r="D29">
        <v>10</v>
      </c>
      <c r="E29">
        <v>32322</v>
      </c>
      <c r="F29" t="s">
        <v>13</v>
      </c>
    </row>
    <row r="30" spans="1:22" x14ac:dyDescent="0.2">
      <c r="A30" t="s">
        <v>10</v>
      </c>
      <c r="B30" t="s">
        <v>11</v>
      </c>
      <c r="C30">
        <v>2001</v>
      </c>
      <c r="D30">
        <v>11</v>
      </c>
      <c r="E30">
        <v>49398</v>
      </c>
      <c r="F30" t="s">
        <v>12</v>
      </c>
    </row>
    <row r="31" spans="1:22" x14ac:dyDescent="0.2">
      <c r="A31" t="s">
        <v>10</v>
      </c>
      <c r="B31" t="s">
        <v>11</v>
      </c>
      <c r="C31">
        <v>2001</v>
      </c>
      <c r="D31">
        <v>12</v>
      </c>
      <c r="E31">
        <v>46601</v>
      </c>
      <c r="F31" t="s">
        <v>12</v>
      </c>
    </row>
    <row r="32" spans="1:22" x14ac:dyDescent="0.2">
      <c r="A32" t="s">
        <v>10</v>
      </c>
      <c r="B32" t="s">
        <v>11</v>
      </c>
      <c r="C32">
        <v>2001</v>
      </c>
      <c r="D32">
        <v>13</v>
      </c>
      <c r="E32">
        <v>40056</v>
      </c>
      <c r="F32" t="s">
        <v>13</v>
      </c>
    </row>
    <row r="33" spans="1:22" x14ac:dyDescent="0.2">
      <c r="A33" t="s">
        <v>10</v>
      </c>
      <c r="B33" t="s">
        <v>11</v>
      </c>
      <c r="C33">
        <v>2001</v>
      </c>
      <c r="D33">
        <v>14</v>
      </c>
      <c r="E33">
        <v>77913</v>
      </c>
      <c r="F33" t="s">
        <v>12</v>
      </c>
    </row>
    <row r="34" spans="1:22" x14ac:dyDescent="0.2">
      <c r="A34" t="s">
        <v>10</v>
      </c>
      <c r="B34" t="s">
        <v>11</v>
      </c>
      <c r="C34">
        <v>2001</v>
      </c>
      <c r="D34">
        <v>15</v>
      </c>
      <c r="E34">
        <v>48883</v>
      </c>
      <c r="F34" t="s">
        <v>13</v>
      </c>
    </row>
    <row r="35" spans="1:22" x14ac:dyDescent="0.2">
      <c r="A35" t="s">
        <v>10</v>
      </c>
      <c r="B35" t="s">
        <v>11</v>
      </c>
      <c r="C35">
        <v>2001</v>
      </c>
      <c r="D35">
        <v>16</v>
      </c>
      <c r="E35">
        <v>72025</v>
      </c>
      <c r="F35" t="s">
        <v>12</v>
      </c>
    </row>
    <row r="36" spans="1:22" x14ac:dyDescent="0.2">
      <c r="A36" t="s">
        <v>10</v>
      </c>
      <c r="B36" t="s">
        <v>11</v>
      </c>
      <c r="C36">
        <v>2001</v>
      </c>
      <c r="D36">
        <v>17</v>
      </c>
      <c r="E36">
        <v>61721</v>
      </c>
      <c r="F36" t="s">
        <v>12</v>
      </c>
      <c r="G36">
        <f>AVERAGEIF(F20:F36,"home",E20:E36)</f>
        <v>38414.375</v>
      </c>
    </row>
    <row r="37" spans="1:22" x14ac:dyDescent="0.2">
      <c r="A37" t="s">
        <v>0</v>
      </c>
      <c r="B37" t="s">
        <v>1</v>
      </c>
      <c r="C37" t="s">
        <v>2</v>
      </c>
      <c r="D37" t="s">
        <v>3</v>
      </c>
      <c r="E37" t="s">
        <v>4</v>
      </c>
      <c r="P37" t="s">
        <v>0</v>
      </c>
      <c r="Q37" t="s">
        <v>1</v>
      </c>
      <c r="R37" t="s">
        <v>2</v>
      </c>
      <c r="S37" t="s">
        <v>6</v>
      </c>
      <c r="T37" t="s">
        <v>7</v>
      </c>
      <c r="U37" t="s">
        <v>8</v>
      </c>
      <c r="V37" t="s">
        <v>9</v>
      </c>
    </row>
    <row r="38" spans="1:22" x14ac:dyDescent="0.2">
      <c r="A38" t="s">
        <v>10</v>
      </c>
      <c r="B38" t="s">
        <v>11</v>
      </c>
      <c r="C38">
        <v>2002</v>
      </c>
      <c r="D38">
        <v>1</v>
      </c>
      <c r="E38">
        <v>85140</v>
      </c>
      <c r="F38" t="s">
        <v>12</v>
      </c>
    </row>
    <row r="39" spans="1:22" x14ac:dyDescent="0.2">
      <c r="A39" t="s">
        <v>10</v>
      </c>
      <c r="B39" t="s">
        <v>11</v>
      </c>
      <c r="C39">
        <v>2002</v>
      </c>
      <c r="D39">
        <v>2</v>
      </c>
      <c r="E39">
        <v>63104</v>
      </c>
      <c r="F39" t="s">
        <v>12</v>
      </c>
    </row>
    <row r="40" spans="1:22" x14ac:dyDescent="0.2">
      <c r="A40" t="s">
        <v>10</v>
      </c>
      <c r="B40" t="s">
        <v>11</v>
      </c>
      <c r="C40">
        <v>2002</v>
      </c>
      <c r="D40">
        <v>3</v>
      </c>
      <c r="E40">
        <v>28980</v>
      </c>
      <c r="F40" t="s">
        <v>15</v>
      </c>
    </row>
    <row r="41" spans="1:22" x14ac:dyDescent="0.2">
      <c r="A41" t="s">
        <v>10</v>
      </c>
      <c r="B41" t="s">
        <v>11</v>
      </c>
      <c r="C41">
        <v>2002</v>
      </c>
      <c r="D41">
        <v>4</v>
      </c>
      <c r="E41">
        <v>30014</v>
      </c>
      <c r="F41" t="s">
        <v>13</v>
      </c>
    </row>
    <row r="42" spans="1:22" x14ac:dyDescent="0.2">
      <c r="A42" t="s">
        <v>10</v>
      </c>
      <c r="B42" t="s">
        <v>11</v>
      </c>
      <c r="C42">
        <v>2002</v>
      </c>
      <c r="D42">
        <v>5</v>
      </c>
      <c r="E42">
        <v>72286</v>
      </c>
      <c r="F42" t="s">
        <v>12</v>
      </c>
    </row>
    <row r="43" spans="1:22" x14ac:dyDescent="0.2">
      <c r="A43" t="s">
        <v>10</v>
      </c>
      <c r="B43" t="s">
        <v>11</v>
      </c>
      <c r="C43">
        <v>2002</v>
      </c>
      <c r="D43">
        <v>6</v>
      </c>
      <c r="E43">
        <v>0</v>
      </c>
      <c r="F43" t="s">
        <v>14</v>
      </c>
    </row>
    <row r="44" spans="1:22" x14ac:dyDescent="0.2">
      <c r="A44" t="s">
        <v>10</v>
      </c>
      <c r="B44" t="s">
        <v>11</v>
      </c>
      <c r="C44">
        <v>2002</v>
      </c>
      <c r="D44">
        <v>7</v>
      </c>
      <c r="E44">
        <v>59702</v>
      </c>
      <c r="F44" t="s">
        <v>15</v>
      </c>
    </row>
    <row r="45" spans="1:22" x14ac:dyDescent="0.2">
      <c r="A45" t="s">
        <v>10</v>
      </c>
      <c r="B45" t="s">
        <v>11</v>
      </c>
      <c r="C45">
        <v>2002</v>
      </c>
      <c r="D45">
        <v>8</v>
      </c>
      <c r="E45">
        <v>67173</v>
      </c>
      <c r="F45" t="s">
        <v>12</v>
      </c>
      <c r="P45" t="s">
        <v>10</v>
      </c>
      <c r="Q45" t="s">
        <v>11</v>
      </c>
      <c r="R45" t="s">
        <v>20</v>
      </c>
      <c r="S45">
        <v>5</v>
      </c>
      <c r="T45">
        <v>11</v>
      </c>
      <c r="U45" t="s">
        <v>17</v>
      </c>
      <c r="V45" t="s">
        <v>18</v>
      </c>
    </row>
    <row r="46" spans="1:22" x14ac:dyDescent="0.2">
      <c r="A46" t="s">
        <v>10</v>
      </c>
      <c r="B46" t="s">
        <v>11</v>
      </c>
      <c r="C46">
        <v>2002</v>
      </c>
      <c r="D46">
        <v>9</v>
      </c>
      <c r="E46">
        <v>47819</v>
      </c>
      <c r="F46" t="s">
        <v>13</v>
      </c>
    </row>
    <row r="47" spans="1:22" x14ac:dyDescent="0.2">
      <c r="A47" t="s">
        <v>10</v>
      </c>
      <c r="B47" t="s">
        <v>11</v>
      </c>
      <c r="C47">
        <v>2002</v>
      </c>
      <c r="D47">
        <v>10</v>
      </c>
      <c r="E47">
        <v>29252</v>
      </c>
      <c r="F47" t="s">
        <v>13</v>
      </c>
    </row>
    <row r="48" spans="1:22" x14ac:dyDescent="0.2">
      <c r="A48" t="s">
        <v>10</v>
      </c>
      <c r="B48" t="s">
        <v>11</v>
      </c>
      <c r="C48">
        <v>2002</v>
      </c>
      <c r="D48">
        <v>11</v>
      </c>
      <c r="E48">
        <v>64990</v>
      </c>
      <c r="F48" t="s">
        <v>12</v>
      </c>
    </row>
    <row r="49" spans="1:22" x14ac:dyDescent="0.2">
      <c r="A49" t="s">
        <v>10</v>
      </c>
      <c r="B49" t="s">
        <v>11</v>
      </c>
      <c r="C49">
        <v>2002</v>
      </c>
      <c r="D49">
        <v>12</v>
      </c>
      <c r="E49">
        <v>58814</v>
      </c>
      <c r="F49" t="s">
        <v>13</v>
      </c>
    </row>
    <row r="50" spans="1:22" x14ac:dyDescent="0.2">
      <c r="A50" t="s">
        <v>10</v>
      </c>
      <c r="B50" t="s">
        <v>11</v>
      </c>
      <c r="C50">
        <v>2002</v>
      </c>
      <c r="D50">
        <v>13</v>
      </c>
      <c r="E50">
        <v>77809</v>
      </c>
      <c r="F50" t="s">
        <v>12</v>
      </c>
    </row>
    <row r="51" spans="1:22" x14ac:dyDescent="0.2">
      <c r="A51" t="s">
        <v>10</v>
      </c>
      <c r="B51" t="s">
        <v>11</v>
      </c>
      <c r="C51">
        <v>2002</v>
      </c>
      <c r="D51">
        <v>14</v>
      </c>
      <c r="E51">
        <v>28640</v>
      </c>
      <c r="F51" t="s">
        <v>13</v>
      </c>
    </row>
    <row r="52" spans="1:22" x14ac:dyDescent="0.2">
      <c r="A52" t="s">
        <v>10</v>
      </c>
      <c r="B52" t="s">
        <v>11</v>
      </c>
      <c r="C52">
        <v>2002</v>
      </c>
      <c r="D52">
        <v>15</v>
      </c>
      <c r="E52">
        <v>65939</v>
      </c>
      <c r="F52" t="s">
        <v>12</v>
      </c>
    </row>
    <row r="53" spans="1:22" x14ac:dyDescent="0.2">
      <c r="A53" t="s">
        <v>10</v>
      </c>
      <c r="B53" t="s">
        <v>11</v>
      </c>
      <c r="C53">
        <v>2002</v>
      </c>
      <c r="D53">
        <v>16</v>
      </c>
      <c r="E53">
        <v>44051</v>
      </c>
      <c r="F53" t="s">
        <v>15</v>
      </c>
    </row>
    <row r="54" spans="1:22" x14ac:dyDescent="0.2">
      <c r="A54" t="s">
        <v>10</v>
      </c>
      <c r="B54" t="s">
        <v>11</v>
      </c>
      <c r="C54">
        <v>2002</v>
      </c>
      <c r="D54">
        <v>17</v>
      </c>
      <c r="E54">
        <v>75164</v>
      </c>
      <c r="F54" t="s">
        <v>12</v>
      </c>
      <c r="G54">
        <f>AVERAGEIF(F38:F54,"home",E38:E54)</f>
        <v>40909</v>
      </c>
    </row>
    <row r="55" spans="1:22" x14ac:dyDescent="0.2">
      <c r="A55" t="s">
        <v>0</v>
      </c>
      <c r="B55" t="s">
        <v>1</v>
      </c>
      <c r="C55" t="s">
        <v>2</v>
      </c>
      <c r="D55" t="s">
        <v>3</v>
      </c>
      <c r="E55" t="s">
        <v>4</v>
      </c>
      <c r="P55" t="s">
        <v>0</v>
      </c>
      <c r="Q55" t="s">
        <v>1</v>
      </c>
      <c r="R55" t="s">
        <v>2</v>
      </c>
      <c r="S55" t="s">
        <v>6</v>
      </c>
      <c r="T55" t="s">
        <v>7</v>
      </c>
      <c r="U55" t="s">
        <v>8</v>
      </c>
      <c r="V55" t="s">
        <v>9</v>
      </c>
    </row>
    <row r="56" spans="1:22" x14ac:dyDescent="0.2">
      <c r="A56" t="s">
        <v>10</v>
      </c>
      <c r="B56" t="s">
        <v>11</v>
      </c>
      <c r="C56">
        <v>2003</v>
      </c>
      <c r="D56">
        <v>1</v>
      </c>
      <c r="E56">
        <v>60691</v>
      </c>
      <c r="F56" t="s">
        <v>12</v>
      </c>
    </row>
    <row r="57" spans="1:22" x14ac:dyDescent="0.2">
      <c r="A57" t="s">
        <v>10</v>
      </c>
      <c r="B57" t="s">
        <v>11</v>
      </c>
      <c r="C57">
        <v>2003</v>
      </c>
      <c r="D57">
        <v>2</v>
      </c>
      <c r="E57">
        <v>23127</v>
      </c>
      <c r="F57" t="s">
        <v>13</v>
      </c>
    </row>
    <row r="58" spans="1:22" x14ac:dyDescent="0.2">
      <c r="A58" t="s">
        <v>10</v>
      </c>
      <c r="B58" t="s">
        <v>11</v>
      </c>
      <c r="C58">
        <v>2003</v>
      </c>
      <c r="D58">
        <v>3</v>
      </c>
      <c r="E58">
        <v>58784</v>
      </c>
      <c r="F58" t="s">
        <v>13</v>
      </c>
    </row>
    <row r="59" spans="1:22" x14ac:dyDescent="0.2">
      <c r="A59" t="s">
        <v>10</v>
      </c>
      <c r="B59" t="s">
        <v>11</v>
      </c>
      <c r="C59">
        <v>2003</v>
      </c>
      <c r="D59">
        <v>4</v>
      </c>
      <c r="E59">
        <v>65758</v>
      </c>
      <c r="F59" t="s">
        <v>12</v>
      </c>
    </row>
    <row r="60" spans="1:22" x14ac:dyDescent="0.2">
      <c r="A60" t="s">
        <v>10</v>
      </c>
      <c r="B60" t="s">
        <v>11</v>
      </c>
      <c r="C60">
        <v>2003</v>
      </c>
      <c r="D60">
        <v>5</v>
      </c>
      <c r="E60">
        <v>63601</v>
      </c>
      <c r="F60" t="s">
        <v>12</v>
      </c>
    </row>
    <row r="61" spans="1:22" x14ac:dyDescent="0.2">
      <c r="A61" t="s">
        <v>10</v>
      </c>
      <c r="B61" t="s">
        <v>11</v>
      </c>
      <c r="C61">
        <v>2003</v>
      </c>
      <c r="D61">
        <v>6</v>
      </c>
      <c r="E61">
        <v>24193</v>
      </c>
      <c r="F61" t="s">
        <v>13</v>
      </c>
    </row>
    <row r="62" spans="1:22" x14ac:dyDescent="0.2">
      <c r="A62" t="s">
        <v>10</v>
      </c>
      <c r="B62" t="s">
        <v>11</v>
      </c>
      <c r="C62">
        <v>2003</v>
      </c>
      <c r="D62">
        <v>7</v>
      </c>
      <c r="E62">
        <v>0</v>
      </c>
      <c r="F62" t="s">
        <v>14</v>
      </c>
    </row>
    <row r="63" spans="1:22" x14ac:dyDescent="0.2">
      <c r="A63" t="s">
        <v>10</v>
      </c>
      <c r="B63" t="s">
        <v>11</v>
      </c>
      <c r="C63">
        <v>2003</v>
      </c>
      <c r="D63">
        <v>8</v>
      </c>
      <c r="E63">
        <v>40824</v>
      </c>
      <c r="F63" t="s">
        <v>13</v>
      </c>
      <c r="P63" t="s">
        <v>10</v>
      </c>
      <c r="Q63" t="s">
        <v>11</v>
      </c>
      <c r="R63" t="s">
        <v>21</v>
      </c>
      <c r="S63">
        <v>4</v>
      </c>
      <c r="T63">
        <v>12</v>
      </c>
      <c r="U63" t="s">
        <v>17</v>
      </c>
      <c r="V63" t="s">
        <v>18</v>
      </c>
    </row>
    <row r="64" spans="1:22" x14ac:dyDescent="0.2">
      <c r="A64" t="s">
        <v>10</v>
      </c>
      <c r="B64" t="s">
        <v>11</v>
      </c>
      <c r="C64">
        <v>2003</v>
      </c>
      <c r="D64">
        <v>9</v>
      </c>
      <c r="E64">
        <v>23531</v>
      </c>
      <c r="F64" t="s">
        <v>13</v>
      </c>
    </row>
    <row r="65" spans="1:22" x14ac:dyDescent="0.2">
      <c r="A65" t="s">
        <v>10</v>
      </c>
      <c r="B65" t="s">
        <v>11</v>
      </c>
      <c r="C65">
        <v>2003</v>
      </c>
      <c r="D65">
        <v>10</v>
      </c>
      <c r="E65">
        <v>59520</v>
      </c>
      <c r="F65" t="s">
        <v>12</v>
      </c>
    </row>
    <row r="66" spans="1:22" x14ac:dyDescent="0.2">
      <c r="A66" t="s">
        <v>10</v>
      </c>
      <c r="B66" t="s">
        <v>11</v>
      </c>
      <c r="C66">
        <v>2003</v>
      </c>
      <c r="D66">
        <v>11</v>
      </c>
      <c r="E66">
        <v>72908</v>
      </c>
      <c r="F66" t="s">
        <v>12</v>
      </c>
    </row>
    <row r="67" spans="1:22" x14ac:dyDescent="0.2">
      <c r="A67" t="s">
        <v>10</v>
      </c>
      <c r="B67" t="s">
        <v>11</v>
      </c>
      <c r="C67">
        <v>2003</v>
      </c>
      <c r="D67">
        <v>12</v>
      </c>
      <c r="E67">
        <v>42089</v>
      </c>
      <c r="F67" t="s">
        <v>13</v>
      </c>
    </row>
    <row r="68" spans="1:22" x14ac:dyDescent="0.2">
      <c r="A68" t="s">
        <v>10</v>
      </c>
      <c r="B68" t="s">
        <v>11</v>
      </c>
      <c r="C68">
        <v>2003</v>
      </c>
      <c r="D68">
        <v>13</v>
      </c>
      <c r="E68">
        <v>61550</v>
      </c>
      <c r="F68" t="s">
        <v>12</v>
      </c>
    </row>
    <row r="69" spans="1:22" x14ac:dyDescent="0.2">
      <c r="A69" t="s">
        <v>10</v>
      </c>
      <c r="B69" t="s">
        <v>11</v>
      </c>
      <c r="C69">
        <v>2003</v>
      </c>
      <c r="D69">
        <v>14</v>
      </c>
      <c r="E69">
        <v>66975</v>
      </c>
      <c r="F69" t="s">
        <v>12</v>
      </c>
    </row>
    <row r="70" spans="1:22" x14ac:dyDescent="0.2">
      <c r="A70" t="s">
        <v>10</v>
      </c>
      <c r="B70" t="s">
        <v>11</v>
      </c>
      <c r="C70">
        <v>2003</v>
      </c>
      <c r="D70">
        <v>15</v>
      </c>
      <c r="E70">
        <v>23217</v>
      </c>
      <c r="F70" t="s">
        <v>13</v>
      </c>
    </row>
    <row r="71" spans="1:22" x14ac:dyDescent="0.2">
      <c r="A71" t="s">
        <v>10</v>
      </c>
      <c r="B71" t="s">
        <v>11</v>
      </c>
      <c r="C71">
        <v>2003</v>
      </c>
      <c r="D71">
        <v>16</v>
      </c>
      <c r="E71">
        <v>64899</v>
      </c>
      <c r="F71" t="s">
        <v>12</v>
      </c>
    </row>
    <row r="72" spans="1:22" x14ac:dyDescent="0.2">
      <c r="A72" t="s">
        <v>10</v>
      </c>
      <c r="B72" t="s">
        <v>11</v>
      </c>
      <c r="C72">
        <v>2003</v>
      </c>
      <c r="D72">
        <v>17</v>
      </c>
      <c r="E72">
        <v>52734</v>
      </c>
      <c r="F72" t="s">
        <v>13</v>
      </c>
      <c r="G72">
        <f>AVERAGEIF(F56:F72,"home",E56:E72)</f>
        <v>36062.375</v>
      </c>
    </row>
    <row r="73" spans="1:22" x14ac:dyDescent="0.2">
      <c r="A73" t="s">
        <v>0</v>
      </c>
      <c r="B73" t="s">
        <v>1</v>
      </c>
      <c r="C73" t="s">
        <v>2</v>
      </c>
      <c r="D73" t="s">
        <v>3</v>
      </c>
      <c r="E73" t="s">
        <v>4</v>
      </c>
      <c r="P73" t="s">
        <v>0</v>
      </c>
      <c r="Q73" t="s">
        <v>1</v>
      </c>
      <c r="R73" t="s">
        <v>2</v>
      </c>
      <c r="S73" t="s">
        <v>6</v>
      </c>
      <c r="T73" t="s">
        <v>7</v>
      </c>
      <c r="U73" t="s">
        <v>8</v>
      </c>
      <c r="V73" t="s">
        <v>9</v>
      </c>
    </row>
    <row r="74" spans="1:22" x14ac:dyDescent="0.2">
      <c r="A74" t="s">
        <v>10</v>
      </c>
      <c r="B74" t="s">
        <v>11</v>
      </c>
      <c r="C74">
        <v>2004</v>
      </c>
      <c r="D74">
        <v>1</v>
      </c>
      <c r="E74">
        <v>65538</v>
      </c>
      <c r="F74" t="s">
        <v>12</v>
      </c>
    </row>
    <row r="75" spans="1:22" x14ac:dyDescent="0.2">
      <c r="A75" t="s">
        <v>10</v>
      </c>
      <c r="B75" t="s">
        <v>11</v>
      </c>
      <c r="C75">
        <v>2004</v>
      </c>
      <c r="D75">
        <v>2</v>
      </c>
      <c r="E75">
        <v>51557</v>
      </c>
      <c r="F75" t="s">
        <v>13</v>
      </c>
    </row>
    <row r="76" spans="1:22" x14ac:dyDescent="0.2">
      <c r="A76" t="s">
        <v>10</v>
      </c>
      <c r="B76" t="s">
        <v>11</v>
      </c>
      <c r="C76">
        <v>2004</v>
      </c>
      <c r="D76">
        <v>3</v>
      </c>
      <c r="E76">
        <v>70534</v>
      </c>
      <c r="F76" t="s">
        <v>12</v>
      </c>
    </row>
    <row r="77" spans="1:22" x14ac:dyDescent="0.2">
      <c r="A77" t="s">
        <v>10</v>
      </c>
      <c r="B77" t="s">
        <v>11</v>
      </c>
      <c r="C77">
        <v>2004</v>
      </c>
      <c r="D77">
        <v>4</v>
      </c>
      <c r="E77">
        <v>28109</v>
      </c>
      <c r="F77" t="s">
        <v>13</v>
      </c>
    </row>
    <row r="78" spans="1:22" x14ac:dyDescent="0.2">
      <c r="A78" t="s">
        <v>10</v>
      </c>
      <c r="B78" t="s">
        <v>11</v>
      </c>
      <c r="C78">
        <v>2004</v>
      </c>
      <c r="D78">
        <v>5</v>
      </c>
      <c r="E78">
        <v>62836</v>
      </c>
      <c r="F78" t="s">
        <v>12</v>
      </c>
    </row>
    <row r="79" spans="1:22" x14ac:dyDescent="0.2">
      <c r="A79" t="s">
        <v>10</v>
      </c>
      <c r="B79" t="s">
        <v>11</v>
      </c>
      <c r="C79">
        <v>2004</v>
      </c>
      <c r="D79">
        <v>6</v>
      </c>
      <c r="E79">
        <v>0</v>
      </c>
      <c r="F79" t="s">
        <v>14</v>
      </c>
    </row>
    <row r="80" spans="1:22" x14ac:dyDescent="0.2">
      <c r="A80" t="s">
        <v>10</v>
      </c>
      <c r="B80" t="s">
        <v>11</v>
      </c>
      <c r="C80">
        <v>2004</v>
      </c>
      <c r="D80">
        <v>7</v>
      </c>
      <c r="E80">
        <v>35695</v>
      </c>
      <c r="F80" t="s">
        <v>13</v>
      </c>
    </row>
    <row r="81" spans="1:22" x14ac:dyDescent="0.2">
      <c r="A81" t="s">
        <v>10</v>
      </c>
      <c r="B81" t="s">
        <v>11</v>
      </c>
      <c r="C81">
        <v>2004</v>
      </c>
      <c r="D81">
        <v>8</v>
      </c>
      <c r="E81">
        <v>65887</v>
      </c>
      <c r="F81" t="s">
        <v>12</v>
      </c>
      <c r="P81" t="s">
        <v>10</v>
      </c>
      <c r="Q81" t="s">
        <v>11</v>
      </c>
      <c r="R81" t="s">
        <v>22</v>
      </c>
      <c r="S81">
        <v>6</v>
      </c>
      <c r="T81">
        <v>10</v>
      </c>
      <c r="U81" t="s">
        <v>17</v>
      </c>
      <c r="V81" t="s">
        <v>18</v>
      </c>
    </row>
    <row r="82" spans="1:22" x14ac:dyDescent="0.2">
      <c r="A82" t="s">
        <v>10</v>
      </c>
      <c r="B82" t="s">
        <v>11</v>
      </c>
      <c r="C82">
        <v>2004</v>
      </c>
      <c r="D82">
        <v>9</v>
      </c>
      <c r="E82">
        <v>72612</v>
      </c>
      <c r="F82" t="s">
        <v>12</v>
      </c>
    </row>
    <row r="83" spans="1:22" x14ac:dyDescent="0.2">
      <c r="A83" t="s">
        <v>10</v>
      </c>
      <c r="B83" t="s">
        <v>11</v>
      </c>
      <c r="C83">
        <v>2004</v>
      </c>
      <c r="D83">
        <v>10</v>
      </c>
      <c r="E83">
        <v>42297</v>
      </c>
      <c r="F83" t="s">
        <v>13</v>
      </c>
    </row>
    <row r="84" spans="1:22" x14ac:dyDescent="0.2">
      <c r="A84" t="s">
        <v>10</v>
      </c>
      <c r="B84" t="s">
        <v>11</v>
      </c>
      <c r="C84">
        <v>2004</v>
      </c>
      <c r="D84">
        <v>11</v>
      </c>
      <c r="E84">
        <v>72796</v>
      </c>
      <c r="F84" t="s">
        <v>12</v>
      </c>
    </row>
    <row r="85" spans="1:22" x14ac:dyDescent="0.2">
      <c r="A85" t="s">
        <v>10</v>
      </c>
      <c r="B85" t="s">
        <v>11</v>
      </c>
      <c r="C85">
        <v>2004</v>
      </c>
      <c r="D85">
        <v>12</v>
      </c>
      <c r="E85">
        <v>35820</v>
      </c>
      <c r="F85" t="s">
        <v>13</v>
      </c>
    </row>
    <row r="86" spans="1:22" x14ac:dyDescent="0.2">
      <c r="A86" t="s">
        <v>10</v>
      </c>
      <c r="B86" t="s">
        <v>11</v>
      </c>
      <c r="C86">
        <v>2004</v>
      </c>
      <c r="D86">
        <v>13</v>
      </c>
      <c r="E86">
        <v>62262</v>
      </c>
      <c r="F86" t="s">
        <v>12</v>
      </c>
    </row>
    <row r="87" spans="1:22" x14ac:dyDescent="0.2">
      <c r="A87" t="s">
        <v>10</v>
      </c>
      <c r="B87" t="s">
        <v>11</v>
      </c>
      <c r="C87">
        <v>2004</v>
      </c>
      <c r="D87">
        <v>14</v>
      </c>
      <c r="E87">
        <v>35069</v>
      </c>
      <c r="F87" t="s">
        <v>23</v>
      </c>
    </row>
    <row r="88" spans="1:22" x14ac:dyDescent="0.2">
      <c r="A88" t="s">
        <v>10</v>
      </c>
      <c r="B88" t="s">
        <v>11</v>
      </c>
      <c r="C88">
        <v>2004</v>
      </c>
      <c r="D88">
        <v>15</v>
      </c>
      <c r="E88">
        <v>40070</v>
      </c>
      <c r="F88" t="s">
        <v>23</v>
      </c>
    </row>
    <row r="89" spans="1:22" x14ac:dyDescent="0.2">
      <c r="A89" t="s">
        <v>10</v>
      </c>
      <c r="B89" t="s">
        <v>11</v>
      </c>
      <c r="C89">
        <v>2004</v>
      </c>
      <c r="D89">
        <v>16</v>
      </c>
      <c r="E89">
        <v>65825</v>
      </c>
      <c r="F89" t="s">
        <v>12</v>
      </c>
    </row>
    <row r="90" spans="1:22" x14ac:dyDescent="0.2">
      <c r="A90" t="s">
        <v>10</v>
      </c>
      <c r="B90" t="s">
        <v>11</v>
      </c>
      <c r="C90">
        <v>2004</v>
      </c>
      <c r="D90">
        <v>17</v>
      </c>
      <c r="E90">
        <v>31650</v>
      </c>
      <c r="F90" t="s">
        <v>24</v>
      </c>
    </row>
    <row r="91" spans="1:22" x14ac:dyDescent="0.2">
      <c r="A91" t="s">
        <v>0</v>
      </c>
      <c r="B91" t="s">
        <v>1</v>
      </c>
      <c r="C91" t="s">
        <v>2</v>
      </c>
      <c r="D91" t="s">
        <v>3</v>
      </c>
      <c r="E91" t="s">
        <v>4</v>
      </c>
      <c r="G91">
        <f>AVERAGEIF(F74:F90,"home",E74:E90)</f>
        <v>38695.599999999999</v>
      </c>
      <c r="P91" t="s">
        <v>0</v>
      </c>
      <c r="Q91" t="s">
        <v>1</v>
      </c>
      <c r="R91" t="s">
        <v>2</v>
      </c>
      <c r="S91" t="s">
        <v>6</v>
      </c>
      <c r="T91" t="s">
        <v>7</v>
      </c>
      <c r="U91" t="s">
        <v>8</v>
      </c>
      <c r="V91" t="s">
        <v>9</v>
      </c>
    </row>
    <row r="92" spans="1:22" x14ac:dyDescent="0.2">
      <c r="A92" t="s">
        <v>10</v>
      </c>
      <c r="B92" t="s">
        <v>11</v>
      </c>
      <c r="C92">
        <v>2005</v>
      </c>
      <c r="D92">
        <v>1</v>
      </c>
      <c r="E92">
        <v>78387</v>
      </c>
      <c r="F92" t="s">
        <v>12</v>
      </c>
    </row>
    <row r="93" spans="1:22" x14ac:dyDescent="0.2">
      <c r="A93" t="s">
        <v>10</v>
      </c>
      <c r="B93" t="s">
        <v>11</v>
      </c>
      <c r="C93">
        <v>2005</v>
      </c>
      <c r="D93">
        <v>2</v>
      </c>
      <c r="E93">
        <v>45160</v>
      </c>
      <c r="F93" t="s">
        <v>13</v>
      </c>
    </row>
    <row r="94" spans="1:22" x14ac:dyDescent="0.2">
      <c r="A94" t="s">
        <v>10</v>
      </c>
      <c r="B94" t="s">
        <v>11</v>
      </c>
      <c r="C94">
        <v>2005</v>
      </c>
      <c r="D94">
        <v>3</v>
      </c>
      <c r="E94">
        <v>64843</v>
      </c>
      <c r="F94" t="s">
        <v>12</v>
      </c>
    </row>
    <row r="95" spans="1:22" x14ac:dyDescent="0.2">
      <c r="A95" t="s">
        <v>10</v>
      </c>
      <c r="B95" t="s">
        <v>11</v>
      </c>
      <c r="C95">
        <v>2005</v>
      </c>
      <c r="D95">
        <v>4</v>
      </c>
      <c r="E95">
        <v>63467</v>
      </c>
      <c r="F95" t="s">
        <v>13</v>
      </c>
    </row>
    <row r="96" spans="1:22" x14ac:dyDescent="0.2">
      <c r="A96" t="s">
        <v>10</v>
      </c>
      <c r="B96" t="s">
        <v>11</v>
      </c>
      <c r="C96">
        <v>2005</v>
      </c>
      <c r="D96">
        <v>5</v>
      </c>
      <c r="E96">
        <v>38809</v>
      </c>
      <c r="F96" t="s">
        <v>13</v>
      </c>
    </row>
    <row r="97" spans="1:22" x14ac:dyDescent="0.2">
      <c r="A97" t="s">
        <v>10</v>
      </c>
      <c r="B97" t="s">
        <v>11</v>
      </c>
      <c r="C97">
        <v>2005</v>
      </c>
      <c r="D97">
        <v>6</v>
      </c>
      <c r="E97">
        <v>0</v>
      </c>
      <c r="F97" t="s">
        <v>14</v>
      </c>
    </row>
    <row r="98" spans="1:22" x14ac:dyDescent="0.2">
      <c r="A98" t="s">
        <v>10</v>
      </c>
      <c r="B98" t="s">
        <v>11</v>
      </c>
      <c r="C98">
        <v>2005</v>
      </c>
      <c r="D98">
        <v>7</v>
      </c>
      <c r="E98">
        <v>39482</v>
      </c>
      <c r="F98" t="s">
        <v>13</v>
      </c>
    </row>
    <row r="99" spans="1:22" x14ac:dyDescent="0.2">
      <c r="A99" t="s">
        <v>10</v>
      </c>
      <c r="B99" t="s">
        <v>11</v>
      </c>
      <c r="C99">
        <v>2005</v>
      </c>
      <c r="D99">
        <v>8</v>
      </c>
      <c r="E99">
        <v>62068</v>
      </c>
      <c r="F99" t="s">
        <v>12</v>
      </c>
      <c r="P99" t="s">
        <v>10</v>
      </c>
      <c r="Q99" t="s">
        <v>11</v>
      </c>
      <c r="R99" t="s">
        <v>25</v>
      </c>
      <c r="S99">
        <v>5</v>
      </c>
      <c r="T99">
        <v>11</v>
      </c>
      <c r="U99" t="s">
        <v>17</v>
      </c>
      <c r="V99" t="s">
        <v>18</v>
      </c>
    </row>
    <row r="100" spans="1:22" x14ac:dyDescent="0.2">
      <c r="A100" t="s">
        <v>10</v>
      </c>
      <c r="B100" t="s">
        <v>11</v>
      </c>
      <c r="C100">
        <v>2005</v>
      </c>
      <c r="D100">
        <v>9</v>
      </c>
      <c r="E100">
        <v>43542</v>
      </c>
      <c r="F100" t="s">
        <v>13</v>
      </c>
    </row>
    <row r="101" spans="1:22" x14ac:dyDescent="0.2">
      <c r="A101" t="s">
        <v>10</v>
      </c>
      <c r="B101" t="s">
        <v>11</v>
      </c>
      <c r="C101">
        <v>2005</v>
      </c>
      <c r="D101">
        <v>10</v>
      </c>
      <c r="E101">
        <v>61091</v>
      </c>
      <c r="F101" t="s">
        <v>12</v>
      </c>
    </row>
    <row r="102" spans="1:22" x14ac:dyDescent="0.2">
      <c r="A102" t="s">
        <v>10</v>
      </c>
      <c r="B102" t="s">
        <v>11</v>
      </c>
      <c r="C102">
        <v>2005</v>
      </c>
      <c r="D102">
        <v>11</v>
      </c>
      <c r="E102">
        <v>65750</v>
      </c>
      <c r="F102" t="s">
        <v>12</v>
      </c>
    </row>
    <row r="103" spans="1:22" x14ac:dyDescent="0.2">
      <c r="A103" t="s">
        <v>10</v>
      </c>
      <c r="B103" t="s">
        <v>11</v>
      </c>
      <c r="C103">
        <v>2005</v>
      </c>
      <c r="D103">
        <v>12</v>
      </c>
      <c r="E103">
        <v>39198</v>
      </c>
      <c r="F103" t="s">
        <v>13</v>
      </c>
    </row>
    <row r="104" spans="1:22" x14ac:dyDescent="0.2">
      <c r="A104" t="s">
        <v>10</v>
      </c>
      <c r="B104" t="s">
        <v>11</v>
      </c>
      <c r="C104">
        <v>2005</v>
      </c>
      <c r="D104">
        <v>13</v>
      </c>
      <c r="E104">
        <v>60439</v>
      </c>
      <c r="F104" t="s">
        <v>12</v>
      </c>
    </row>
    <row r="105" spans="1:22" x14ac:dyDescent="0.2">
      <c r="A105" t="s">
        <v>10</v>
      </c>
      <c r="B105" t="s">
        <v>11</v>
      </c>
      <c r="C105">
        <v>2005</v>
      </c>
      <c r="D105">
        <v>14</v>
      </c>
      <c r="E105">
        <v>46654</v>
      </c>
      <c r="F105" t="s">
        <v>13</v>
      </c>
    </row>
    <row r="106" spans="1:22" x14ac:dyDescent="0.2">
      <c r="A106" t="s">
        <v>10</v>
      </c>
      <c r="B106" t="s">
        <v>11</v>
      </c>
      <c r="C106">
        <v>2005</v>
      </c>
      <c r="D106">
        <v>15</v>
      </c>
      <c r="E106">
        <v>70024</v>
      </c>
      <c r="F106" t="s">
        <v>12</v>
      </c>
    </row>
    <row r="107" spans="1:22" x14ac:dyDescent="0.2">
      <c r="A107" t="s">
        <v>10</v>
      </c>
      <c r="B107" t="s">
        <v>11</v>
      </c>
      <c r="C107">
        <v>2005</v>
      </c>
      <c r="D107">
        <v>16</v>
      </c>
      <c r="E107">
        <v>44723</v>
      </c>
      <c r="F107" t="s">
        <v>13</v>
      </c>
    </row>
    <row r="108" spans="1:22" x14ac:dyDescent="0.2">
      <c r="A108" t="s">
        <v>10</v>
      </c>
      <c r="B108" t="s">
        <v>11</v>
      </c>
      <c r="C108">
        <v>2005</v>
      </c>
      <c r="D108">
        <v>17</v>
      </c>
      <c r="E108">
        <v>57211</v>
      </c>
      <c r="F108" t="s">
        <v>12</v>
      </c>
    </row>
    <row r="109" spans="1:22" x14ac:dyDescent="0.2">
      <c r="A109" t="s">
        <v>0</v>
      </c>
      <c r="B109" t="s">
        <v>1</v>
      </c>
      <c r="C109" t="s">
        <v>2</v>
      </c>
      <c r="D109" t="s">
        <v>3</v>
      </c>
      <c r="E109" t="s">
        <v>4</v>
      </c>
      <c r="G109">
        <f>AVERAGEIF(F92:F108,"home",E92:E108)</f>
        <v>45129.375</v>
      </c>
      <c r="P109" t="s">
        <v>0</v>
      </c>
      <c r="Q109" t="s">
        <v>1</v>
      </c>
      <c r="R109" t="s">
        <v>2</v>
      </c>
      <c r="S109" t="s">
        <v>6</v>
      </c>
      <c r="T109" t="s">
        <v>7</v>
      </c>
      <c r="U109" t="s">
        <v>8</v>
      </c>
      <c r="V109" t="s">
        <v>9</v>
      </c>
    </row>
    <row r="110" spans="1:22" x14ac:dyDescent="0.2">
      <c r="A110" t="s">
        <v>10</v>
      </c>
      <c r="B110" t="s">
        <v>11</v>
      </c>
      <c r="C110">
        <v>2006</v>
      </c>
      <c r="D110">
        <v>1</v>
      </c>
      <c r="E110">
        <v>63407</v>
      </c>
      <c r="F110" t="s">
        <v>13</v>
      </c>
    </row>
    <row r="111" spans="1:22" x14ac:dyDescent="0.2">
      <c r="A111" t="s">
        <v>10</v>
      </c>
      <c r="B111" t="s">
        <v>11</v>
      </c>
      <c r="C111">
        <v>2006</v>
      </c>
      <c r="D111">
        <v>2</v>
      </c>
      <c r="E111">
        <v>67470</v>
      </c>
      <c r="F111" t="s">
        <v>12</v>
      </c>
    </row>
    <row r="112" spans="1:22" x14ac:dyDescent="0.2">
      <c r="A112" t="s">
        <v>10</v>
      </c>
      <c r="B112" t="s">
        <v>11</v>
      </c>
      <c r="C112">
        <v>2006</v>
      </c>
      <c r="D112">
        <v>3</v>
      </c>
      <c r="E112">
        <v>63278</v>
      </c>
      <c r="F112" t="s">
        <v>13</v>
      </c>
    </row>
    <row r="113" spans="1:22" x14ac:dyDescent="0.2">
      <c r="A113" t="s">
        <v>10</v>
      </c>
      <c r="B113" t="s">
        <v>11</v>
      </c>
      <c r="C113">
        <v>2006</v>
      </c>
      <c r="D113">
        <v>4</v>
      </c>
      <c r="E113">
        <v>68981</v>
      </c>
      <c r="F113" t="s">
        <v>12</v>
      </c>
    </row>
    <row r="114" spans="1:22" x14ac:dyDescent="0.2">
      <c r="A114" t="s">
        <v>10</v>
      </c>
      <c r="B114" t="s">
        <v>11</v>
      </c>
      <c r="C114">
        <v>2006</v>
      </c>
      <c r="D114">
        <v>5</v>
      </c>
      <c r="E114">
        <v>63445</v>
      </c>
      <c r="F114" t="s">
        <v>13</v>
      </c>
    </row>
    <row r="115" spans="1:22" x14ac:dyDescent="0.2">
      <c r="A115" t="s">
        <v>10</v>
      </c>
      <c r="B115" t="s">
        <v>11</v>
      </c>
      <c r="C115">
        <v>2006</v>
      </c>
      <c r="D115">
        <v>6</v>
      </c>
      <c r="E115">
        <v>63977</v>
      </c>
      <c r="F115" t="s">
        <v>13</v>
      </c>
    </row>
    <row r="116" spans="1:22" x14ac:dyDescent="0.2">
      <c r="A116" t="s">
        <v>10</v>
      </c>
      <c r="B116" t="s">
        <v>11</v>
      </c>
      <c r="C116">
        <v>2006</v>
      </c>
      <c r="D116">
        <v>7</v>
      </c>
      <c r="E116">
        <v>61595</v>
      </c>
      <c r="F116" t="s">
        <v>12</v>
      </c>
    </row>
    <row r="117" spans="1:22" x14ac:dyDescent="0.2">
      <c r="A117" t="s">
        <v>10</v>
      </c>
      <c r="B117" t="s">
        <v>11</v>
      </c>
      <c r="C117">
        <v>2006</v>
      </c>
      <c r="D117">
        <v>8</v>
      </c>
      <c r="E117">
        <v>70809</v>
      </c>
      <c r="F117" t="s">
        <v>12</v>
      </c>
      <c r="P117" t="s">
        <v>10</v>
      </c>
      <c r="Q117" t="s">
        <v>11</v>
      </c>
      <c r="R117" t="s">
        <v>26</v>
      </c>
      <c r="S117">
        <v>5</v>
      </c>
      <c r="T117">
        <v>11</v>
      </c>
      <c r="U117" t="s">
        <v>17</v>
      </c>
      <c r="V117" t="s">
        <v>18</v>
      </c>
    </row>
    <row r="118" spans="1:22" x14ac:dyDescent="0.2">
      <c r="A118" t="s">
        <v>10</v>
      </c>
      <c r="B118" t="s">
        <v>11</v>
      </c>
      <c r="C118">
        <v>2006</v>
      </c>
      <c r="D118">
        <v>9</v>
      </c>
      <c r="E118">
        <v>0</v>
      </c>
      <c r="F118" t="s">
        <v>14</v>
      </c>
    </row>
    <row r="119" spans="1:22" x14ac:dyDescent="0.2">
      <c r="A119" t="s">
        <v>10</v>
      </c>
      <c r="B119" t="s">
        <v>11</v>
      </c>
      <c r="C119">
        <v>2006</v>
      </c>
      <c r="D119">
        <v>10</v>
      </c>
      <c r="E119">
        <v>63926</v>
      </c>
      <c r="F119" t="s">
        <v>13</v>
      </c>
    </row>
    <row r="120" spans="1:22" x14ac:dyDescent="0.2">
      <c r="A120" t="s">
        <v>10</v>
      </c>
      <c r="B120" t="s">
        <v>11</v>
      </c>
      <c r="C120">
        <v>2006</v>
      </c>
      <c r="D120">
        <v>11</v>
      </c>
      <c r="E120">
        <v>63348</v>
      </c>
      <c r="F120" t="s">
        <v>13</v>
      </c>
    </row>
    <row r="121" spans="1:22" x14ac:dyDescent="0.2">
      <c r="A121" t="s">
        <v>10</v>
      </c>
      <c r="B121" t="s">
        <v>11</v>
      </c>
      <c r="C121">
        <v>2006</v>
      </c>
      <c r="D121">
        <v>12</v>
      </c>
      <c r="E121">
        <v>63483</v>
      </c>
      <c r="F121" t="s">
        <v>12</v>
      </c>
    </row>
    <row r="122" spans="1:22" x14ac:dyDescent="0.2">
      <c r="A122" t="s">
        <v>10</v>
      </c>
      <c r="B122" t="s">
        <v>11</v>
      </c>
      <c r="C122">
        <v>2006</v>
      </c>
      <c r="D122">
        <v>13</v>
      </c>
      <c r="E122">
        <v>65612</v>
      </c>
      <c r="F122" t="s">
        <v>12</v>
      </c>
    </row>
    <row r="123" spans="1:22" x14ac:dyDescent="0.2">
      <c r="A123" t="s">
        <v>10</v>
      </c>
      <c r="B123" t="s">
        <v>11</v>
      </c>
      <c r="C123">
        <v>2006</v>
      </c>
      <c r="D123">
        <v>14</v>
      </c>
      <c r="E123">
        <v>63603</v>
      </c>
      <c r="F123" t="s">
        <v>13</v>
      </c>
    </row>
    <row r="124" spans="1:22" x14ac:dyDescent="0.2">
      <c r="A124" t="s">
        <v>10</v>
      </c>
      <c r="B124" t="s">
        <v>11</v>
      </c>
      <c r="C124">
        <v>2006</v>
      </c>
      <c r="D124">
        <v>15</v>
      </c>
      <c r="E124">
        <v>63845</v>
      </c>
      <c r="F124" t="s">
        <v>13</v>
      </c>
    </row>
    <row r="125" spans="1:22" x14ac:dyDescent="0.2">
      <c r="A125" t="s">
        <v>10</v>
      </c>
      <c r="B125" t="s">
        <v>11</v>
      </c>
      <c r="C125">
        <v>2006</v>
      </c>
      <c r="D125">
        <v>16</v>
      </c>
      <c r="E125">
        <v>67751</v>
      </c>
      <c r="F125" t="s">
        <v>12</v>
      </c>
    </row>
    <row r="126" spans="1:22" x14ac:dyDescent="0.2">
      <c r="A126" t="s">
        <v>10</v>
      </c>
      <c r="B126" t="s">
        <v>11</v>
      </c>
      <c r="C126">
        <v>2006</v>
      </c>
      <c r="D126">
        <v>17</v>
      </c>
      <c r="E126">
        <v>66492</v>
      </c>
      <c r="F126" t="s">
        <v>12</v>
      </c>
    </row>
    <row r="127" spans="1:22" x14ac:dyDescent="0.2">
      <c r="A127" t="s">
        <v>0</v>
      </c>
      <c r="B127" t="s">
        <v>1</v>
      </c>
      <c r="C127" t="s">
        <v>2</v>
      </c>
      <c r="D127" t="s">
        <v>3</v>
      </c>
      <c r="E127" t="s">
        <v>4</v>
      </c>
      <c r="G127">
        <f>AVERAGEIF(F110:F126,"home",E110:E126)</f>
        <v>63603.625</v>
      </c>
      <c r="P127" t="s">
        <v>0</v>
      </c>
      <c r="Q127" t="s">
        <v>1</v>
      </c>
      <c r="R127" t="s">
        <v>2</v>
      </c>
      <c r="S127" t="s">
        <v>6</v>
      </c>
      <c r="T127" t="s">
        <v>7</v>
      </c>
      <c r="U127" t="s">
        <v>8</v>
      </c>
      <c r="V127" t="s">
        <v>9</v>
      </c>
    </row>
    <row r="128" spans="1:22" x14ac:dyDescent="0.2">
      <c r="A128" t="s">
        <v>10</v>
      </c>
      <c r="B128" t="s">
        <v>11</v>
      </c>
      <c r="C128">
        <v>2007</v>
      </c>
      <c r="D128">
        <v>1</v>
      </c>
      <c r="E128">
        <v>68111</v>
      </c>
      <c r="F128" t="s">
        <v>12</v>
      </c>
    </row>
    <row r="129" spans="1:22" x14ac:dyDescent="0.2">
      <c r="A129" t="s">
        <v>10</v>
      </c>
      <c r="B129" t="s">
        <v>11</v>
      </c>
      <c r="C129">
        <v>2007</v>
      </c>
      <c r="D129">
        <v>2</v>
      </c>
      <c r="E129">
        <v>64542</v>
      </c>
      <c r="F129" t="s">
        <v>13</v>
      </c>
    </row>
    <row r="130" spans="1:22" x14ac:dyDescent="0.2">
      <c r="A130" t="s">
        <v>10</v>
      </c>
      <c r="B130" t="s">
        <v>11</v>
      </c>
      <c r="C130">
        <v>2007</v>
      </c>
      <c r="D130">
        <v>3</v>
      </c>
      <c r="E130">
        <v>71372</v>
      </c>
      <c r="F130" t="s">
        <v>12</v>
      </c>
    </row>
    <row r="131" spans="1:22" x14ac:dyDescent="0.2">
      <c r="A131" t="s">
        <v>10</v>
      </c>
      <c r="B131" t="s">
        <v>11</v>
      </c>
      <c r="C131">
        <v>2007</v>
      </c>
      <c r="D131">
        <v>4</v>
      </c>
      <c r="E131">
        <v>64844</v>
      </c>
      <c r="F131" t="s">
        <v>13</v>
      </c>
    </row>
    <row r="132" spans="1:22" x14ac:dyDescent="0.2">
      <c r="A132" t="s">
        <v>10</v>
      </c>
      <c r="B132" t="s">
        <v>11</v>
      </c>
      <c r="C132">
        <v>2007</v>
      </c>
      <c r="D132">
        <v>5</v>
      </c>
      <c r="E132">
        <v>61788</v>
      </c>
      <c r="F132" t="s">
        <v>12</v>
      </c>
    </row>
    <row r="133" spans="1:22" x14ac:dyDescent="0.2">
      <c r="A133" t="s">
        <v>10</v>
      </c>
      <c r="B133" t="s">
        <v>11</v>
      </c>
      <c r="C133">
        <v>2007</v>
      </c>
      <c r="D133">
        <v>6</v>
      </c>
      <c r="E133">
        <v>64403</v>
      </c>
      <c r="F133" t="s">
        <v>13</v>
      </c>
    </row>
    <row r="134" spans="1:22" x14ac:dyDescent="0.2">
      <c r="A134" t="s">
        <v>10</v>
      </c>
      <c r="B134" t="s">
        <v>11</v>
      </c>
      <c r="C134">
        <v>2007</v>
      </c>
      <c r="D134">
        <v>7</v>
      </c>
      <c r="E134">
        <v>85640</v>
      </c>
      <c r="F134" t="s">
        <v>12</v>
      </c>
    </row>
    <row r="135" spans="1:22" x14ac:dyDescent="0.2">
      <c r="A135" t="s">
        <v>10</v>
      </c>
      <c r="B135" t="s">
        <v>11</v>
      </c>
      <c r="C135">
        <v>2007</v>
      </c>
      <c r="D135">
        <v>8</v>
      </c>
      <c r="E135">
        <v>0</v>
      </c>
      <c r="F135" t="s">
        <v>14</v>
      </c>
      <c r="P135" t="s">
        <v>10</v>
      </c>
      <c r="Q135" t="s">
        <v>11</v>
      </c>
      <c r="R135" t="s">
        <v>27</v>
      </c>
      <c r="S135">
        <v>8</v>
      </c>
      <c r="T135">
        <v>8</v>
      </c>
      <c r="U135" t="s">
        <v>17</v>
      </c>
      <c r="V135" t="s">
        <v>18</v>
      </c>
    </row>
    <row r="136" spans="1:22" x14ac:dyDescent="0.2">
      <c r="A136" t="s">
        <v>10</v>
      </c>
      <c r="B136" t="s">
        <v>11</v>
      </c>
      <c r="C136">
        <v>2007</v>
      </c>
      <c r="D136">
        <v>9</v>
      </c>
      <c r="E136">
        <v>65267</v>
      </c>
      <c r="F136" t="s">
        <v>12</v>
      </c>
    </row>
    <row r="137" spans="1:22" x14ac:dyDescent="0.2">
      <c r="A137" t="s">
        <v>10</v>
      </c>
      <c r="B137" t="s">
        <v>11</v>
      </c>
      <c r="C137">
        <v>2007</v>
      </c>
      <c r="D137">
        <v>10</v>
      </c>
      <c r="E137">
        <v>64753</v>
      </c>
      <c r="F137" t="s">
        <v>24</v>
      </c>
    </row>
    <row r="138" spans="1:22" x14ac:dyDescent="0.2">
      <c r="A138" t="s">
        <v>10</v>
      </c>
      <c r="B138" t="s">
        <v>11</v>
      </c>
      <c r="C138">
        <v>2007</v>
      </c>
      <c r="D138">
        <v>11</v>
      </c>
      <c r="E138">
        <v>65403</v>
      </c>
      <c r="F138" t="s">
        <v>12</v>
      </c>
    </row>
    <row r="139" spans="1:22" x14ac:dyDescent="0.2">
      <c r="A139" t="s">
        <v>10</v>
      </c>
      <c r="B139" t="s">
        <v>11</v>
      </c>
      <c r="C139">
        <v>2007</v>
      </c>
      <c r="D139">
        <v>12</v>
      </c>
      <c r="E139">
        <v>64483</v>
      </c>
      <c r="F139" t="s">
        <v>24</v>
      </c>
    </row>
    <row r="140" spans="1:22" x14ac:dyDescent="0.2">
      <c r="A140" t="s">
        <v>10</v>
      </c>
      <c r="B140" t="s">
        <v>11</v>
      </c>
      <c r="C140">
        <v>2007</v>
      </c>
      <c r="D140">
        <v>13</v>
      </c>
      <c r="E140">
        <v>64791</v>
      </c>
      <c r="F140" t="s">
        <v>24</v>
      </c>
    </row>
    <row r="141" spans="1:22" x14ac:dyDescent="0.2">
      <c r="A141" t="s">
        <v>10</v>
      </c>
      <c r="B141" t="s">
        <v>11</v>
      </c>
      <c r="C141">
        <v>2007</v>
      </c>
      <c r="D141">
        <v>14</v>
      </c>
      <c r="E141">
        <v>68193</v>
      </c>
      <c r="F141" t="s">
        <v>12</v>
      </c>
    </row>
    <row r="142" spans="1:22" x14ac:dyDescent="0.2">
      <c r="A142" t="s">
        <v>10</v>
      </c>
      <c r="B142" t="s">
        <v>11</v>
      </c>
      <c r="C142">
        <v>2007</v>
      </c>
      <c r="D142">
        <v>15</v>
      </c>
      <c r="E142">
        <v>70007</v>
      </c>
      <c r="F142" t="s">
        <v>12</v>
      </c>
    </row>
    <row r="143" spans="1:22" x14ac:dyDescent="0.2">
      <c r="A143" t="s">
        <v>10</v>
      </c>
      <c r="B143" t="s">
        <v>11</v>
      </c>
      <c r="C143">
        <v>2007</v>
      </c>
      <c r="D143">
        <v>16</v>
      </c>
      <c r="E143">
        <v>64159</v>
      </c>
      <c r="F143" t="s">
        <v>13</v>
      </c>
    </row>
    <row r="144" spans="1:22" x14ac:dyDescent="0.2">
      <c r="A144" t="s">
        <v>10</v>
      </c>
      <c r="B144" t="s">
        <v>11</v>
      </c>
      <c r="C144">
        <v>2007</v>
      </c>
      <c r="D144">
        <v>17</v>
      </c>
      <c r="E144">
        <v>64671</v>
      </c>
      <c r="F144" t="s">
        <v>24</v>
      </c>
      <c r="P144" t="s">
        <v>0</v>
      </c>
      <c r="Q144" t="s">
        <v>1</v>
      </c>
      <c r="R144" t="s">
        <v>2</v>
      </c>
      <c r="S144" t="s">
        <v>6</v>
      </c>
      <c r="T144" t="s">
        <v>7</v>
      </c>
      <c r="U144" t="s">
        <v>8</v>
      </c>
      <c r="V144" t="s">
        <v>9</v>
      </c>
    </row>
    <row r="145" spans="1:22" x14ac:dyDescent="0.2">
      <c r="A145" t="s">
        <v>0</v>
      </c>
      <c r="B145" t="s">
        <v>1</v>
      </c>
      <c r="C145" t="s">
        <v>2</v>
      </c>
      <c r="D145" t="s">
        <v>3</v>
      </c>
      <c r="E145" t="s">
        <v>4</v>
      </c>
      <c r="G145">
        <f>AVERAGEIF(F128:F144,"home",E128:E144)</f>
        <v>64487</v>
      </c>
    </row>
    <row r="146" spans="1:22" x14ac:dyDescent="0.2">
      <c r="A146" t="s">
        <v>10</v>
      </c>
      <c r="B146" t="s">
        <v>11</v>
      </c>
      <c r="C146">
        <v>2008</v>
      </c>
      <c r="D146">
        <v>1</v>
      </c>
      <c r="E146">
        <v>67186</v>
      </c>
      <c r="F146" t="s">
        <v>12</v>
      </c>
    </row>
    <row r="147" spans="1:22" x14ac:dyDescent="0.2">
      <c r="A147" t="s">
        <v>10</v>
      </c>
      <c r="B147" t="s">
        <v>11</v>
      </c>
      <c r="C147">
        <v>2008</v>
      </c>
      <c r="D147">
        <v>2</v>
      </c>
      <c r="E147">
        <v>63445</v>
      </c>
      <c r="F147" t="s">
        <v>13</v>
      </c>
    </row>
    <row r="148" spans="1:22" x14ac:dyDescent="0.2">
      <c r="A148" t="s">
        <v>10</v>
      </c>
      <c r="B148" t="s">
        <v>11</v>
      </c>
      <c r="C148">
        <v>2008</v>
      </c>
      <c r="D148">
        <v>3</v>
      </c>
      <c r="E148">
        <v>90060</v>
      </c>
      <c r="F148" t="s">
        <v>12</v>
      </c>
    </row>
    <row r="149" spans="1:22" x14ac:dyDescent="0.2">
      <c r="A149" t="s">
        <v>10</v>
      </c>
      <c r="B149" t="s">
        <v>11</v>
      </c>
      <c r="C149">
        <v>2008</v>
      </c>
      <c r="D149">
        <v>4</v>
      </c>
      <c r="E149">
        <v>78222</v>
      </c>
      <c r="F149" t="s">
        <v>12</v>
      </c>
    </row>
    <row r="150" spans="1:22" x14ac:dyDescent="0.2">
      <c r="A150" t="s">
        <v>10</v>
      </c>
      <c r="B150" t="s">
        <v>11</v>
      </c>
      <c r="C150">
        <v>2008</v>
      </c>
      <c r="D150">
        <v>5</v>
      </c>
      <c r="E150">
        <v>63830</v>
      </c>
      <c r="F150" t="s">
        <v>13</v>
      </c>
    </row>
    <row r="151" spans="1:22" x14ac:dyDescent="0.2">
      <c r="A151" t="s">
        <v>10</v>
      </c>
      <c r="B151" t="s">
        <v>11</v>
      </c>
      <c r="C151">
        <v>2008</v>
      </c>
      <c r="D151">
        <v>6</v>
      </c>
      <c r="E151">
        <v>64389</v>
      </c>
      <c r="F151" t="s">
        <v>13</v>
      </c>
    </row>
    <row r="152" spans="1:22" x14ac:dyDescent="0.2">
      <c r="A152" t="s">
        <v>10</v>
      </c>
      <c r="B152" t="s">
        <v>11</v>
      </c>
      <c r="C152">
        <v>2008</v>
      </c>
      <c r="D152">
        <v>7</v>
      </c>
      <c r="E152">
        <v>0</v>
      </c>
      <c r="F152" t="s">
        <v>14</v>
      </c>
      <c r="P152" t="s">
        <v>10</v>
      </c>
      <c r="Q152" t="s">
        <v>11</v>
      </c>
      <c r="R152" t="s">
        <v>28</v>
      </c>
      <c r="S152">
        <v>9</v>
      </c>
      <c r="T152">
        <v>7</v>
      </c>
      <c r="U152" t="s">
        <v>29</v>
      </c>
      <c r="V152" t="s">
        <v>30</v>
      </c>
    </row>
    <row r="153" spans="1:22" x14ac:dyDescent="0.2">
      <c r="A153" t="s">
        <v>10</v>
      </c>
      <c r="B153" t="s">
        <v>11</v>
      </c>
      <c r="C153">
        <v>2008</v>
      </c>
      <c r="D153">
        <v>8</v>
      </c>
      <c r="E153">
        <v>72010</v>
      </c>
      <c r="F153" t="s">
        <v>12</v>
      </c>
    </row>
    <row r="154" spans="1:22" x14ac:dyDescent="0.2">
      <c r="A154" t="s">
        <v>10</v>
      </c>
      <c r="B154" t="s">
        <v>11</v>
      </c>
      <c r="C154">
        <v>2008</v>
      </c>
      <c r="D154">
        <v>9</v>
      </c>
      <c r="E154">
        <v>61303</v>
      </c>
      <c r="F154" t="s">
        <v>12</v>
      </c>
    </row>
    <row r="155" spans="1:22" x14ac:dyDescent="0.2">
      <c r="A155" t="s">
        <v>10</v>
      </c>
      <c r="B155" t="s">
        <v>11</v>
      </c>
      <c r="C155">
        <v>2008</v>
      </c>
      <c r="D155">
        <v>10</v>
      </c>
      <c r="E155">
        <v>64519</v>
      </c>
      <c r="F155" t="s">
        <v>13</v>
      </c>
    </row>
    <row r="156" spans="1:22" x14ac:dyDescent="0.2">
      <c r="A156" t="s">
        <v>10</v>
      </c>
      <c r="B156" t="s">
        <v>11</v>
      </c>
      <c r="C156">
        <v>2008</v>
      </c>
      <c r="D156">
        <v>11</v>
      </c>
      <c r="E156">
        <v>67616</v>
      </c>
      <c r="F156" t="s">
        <v>12</v>
      </c>
    </row>
    <row r="157" spans="1:22" x14ac:dyDescent="0.2">
      <c r="A157" t="s">
        <v>10</v>
      </c>
      <c r="B157" t="s">
        <v>11</v>
      </c>
      <c r="C157">
        <v>2008</v>
      </c>
      <c r="D157">
        <v>12</v>
      </c>
      <c r="E157">
        <v>64541</v>
      </c>
      <c r="F157" t="s">
        <v>13</v>
      </c>
    </row>
    <row r="158" spans="1:22" x14ac:dyDescent="0.2">
      <c r="A158" t="s">
        <v>10</v>
      </c>
      <c r="B158" t="s">
        <v>11</v>
      </c>
      <c r="C158">
        <v>2008</v>
      </c>
      <c r="D158">
        <v>13</v>
      </c>
      <c r="E158">
        <v>69144</v>
      </c>
      <c r="F158" t="s">
        <v>12</v>
      </c>
    </row>
    <row r="159" spans="1:22" x14ac:dyDescent="0.2">
      <c r="A159" t="s">
        <v>10</v>
      </c>
      <c r="B159" t="s">
        <v>11</v>
      </c>
      <c r="C159">
        <v>2008</v>
      </c>
      <c r="D159">
        <v>14</v>
      </c>
      <c r="E159">
        <v>63720</v>
      </c>
      <c r="F159" t="s">
        <v>24</v>
      </c>
    </row>
    <row r="160" spans="1:22" x14ac:dyDescent="0.2">
      <c r="A160" t="s">
        <v>10</v>
      </c>
      <c r="B160" t="s">
        <v>11</v>
      </c>
      <c r="C160">
        <v>2008</v>
      </c>
      <c r="D160">
        <v>15</v>
      </c>
      <c r="E160">
        <v>64457</v>
      </c>
      <c r="F160" t="s">
        <v>24</v>
      </c>
    </row>
    <row r="161" spans="1:22" x14ac:dyDescent="0.2">
      <c r="A161" t="s">
        <v>10</v>
      </c>
      <c r="B161" t="s">
        <v>11</v>
      </c>
      <c r="C161">
        <v>2008</v>
      </c>
      <c r="D161">
        <v>16</v>
      </c>
      <c r="E161">
        <v>68756</v>
      </c>
      <c r="F161" t="s">
        <v>12</v>
      </c>
    </row>
    <row r="162" spans="1:22" x14ac:dyDescent="0.2">
      <c r="A162" t="s">
        <v>10</v>
      </c>
      <c r="B162" t="s">
        <v>11</v>
      </c>
      <c r="C162">
        <v>2008</v>
      </c>
      <c r="D162">
        <v>17</v>
      </c>
      <c r="E162">
        <v>63874</v>
      </c>
      <c r="F162" t="s">
        <v>24</v>
      </c>
    </row>
    <row r="163" spans="1:22" x14ac:dyDescent="0.2">
      <c r="A163" t="s">
        <v>0</v>
      </c>
      <c r="B163" t="s">
        <v>1</v>
      </c>
      <c r="C163" t="s">
        <v>2</v>
      </c>
      <c r="D163" t="s">
        <v>3</v>
      </c>
      <c r="E163" t="s">
        <v>4</v>
      </c>
      <c r="G163">
        <f>AVERAGEIF(F146:F162,"home",E146:E162)</f>
        <v>64144.800000000003</v>
      </c>
      <c r="P163" t="s">
        <v>0</v>
      </c>
      <c r="Q163" t="s">
        <v>1</v>
      </c>
      <c r="R163" t="s">
        <v>2</v>
      </c>
      <c r="S163" t="s">
        <v>6</v>
      </c>
      <c r="T163" t="s">
        <v>7</v>
      </c>
      <c r="U163" t="s">
        <v>8</v>
      </c>
      <c r="V163" t="s">
        <v>9</v>
      </c>
    </row>
    <row r="164" spans="1:22" x14ac:dyDescent="0.2">
      <c r="A164" t="s">
        <v>10</v>
      </c>
      <c r="B164" t="s">
        <v>11</v>
      </c>
      <c r="C164">
        <v>2009</v>
      </c>
      <c r="D164">
        <v>1</v>
      </c>
      <c r="E164">
        <v>61981</v>
      </c>
      <c r="F164" t="s">
        <v>24</v>
      </c>
    </row>
    <row r="165" spans="1:22" x14ac:dyDescent="0.2">
      <c r="A165" t="s">
        <v>10</v>
      </c>
      <c r="B165" t="s">
        <v>11</v>
      </c>
      <c r="C165">
        <v>2009</v>
      </c>
      <c r="D165">
        <v>2</v>
      </c>
      <c r="E165">
        <v>46520</v>
      </c>
      <c r="F165" t="s">
        <v>12</v>
      </c>
    </row>
    <row r="166" spans="1:22" x14ac:dyDescent="0.2">
      <c r="A166" t="s">
        <v>10</v>
      </c>
      <c r="B166" t="s">
        <v>11</v>
      </c>
      <c r="C166">
        <v>2009</v>
      </c>
      <c r="D166">
        <v>3</v>
      </c>
      <c r="E166">
        <v>62692</v>
      </c>
      <c r="F166" t="s">
        <v>24</v>
      </c>
    </row>
    <row r="167" spans="1:22" x14ac:dyDescent="0.2">
      <c r="A167" t="s">
        <v>10</v>
      </c>
      <c r="B167" t="s">
        <v>11</v>
      </c>
      <c r="C167">
        <v>2009</v>
      </c>
      <c r="D167">
        <v>4</v>
      </c>
      <c r="E167">
        <v>0</v>
      </c>
      <c r="F167" t="s">
        <v>14</v>
      </c>
    </row>
    <row r="168" spans="1:22" x14ac:dyDescent="0.2">
      <c r="A168" t="s">
        <v>10</v>
      </c>
      <c r="B168" t="s">
        <v>11</v>
      </c>
      <c r="C168">
        <v>2009</v>
      </c>
      <c r="D168">
        <v>5</v>
      </c>
      <c r="E168">
        <v>61819</v>
      </c>
      <c r="F168" t="s">
        <v>24</v>
      </c>
    </row>
    <row r="169" spans="1:22" x14ac:dyDescent="0.2">
      <c r="A169" t="s">
        <v>10</v>
      </c>
      <c r="B169" t="s">
        <v>11</v>
      </c>
      <c r="C169">
        <v>2009</v>
      </c>
      <c r="D169">
        <v>6</v>
      </c>
      <c r="E169">
        <v>67588</v>
      </c>
      <c r="F169" t="s">
        <v>12</v>
      </c>
    </row>
    <row r="170" spans="1:22" x14ac:dyDescent="0.2">
      <c r="A170" t="s">
        <v>10</v>
      </c>
      <c r="B170" t="s">
        <v>11</v>
      </c>
      <c r="C170">
        <v>2009</v>
      </c>
      <c r="D170">
        <v>7</v>
      </c>
      <c r="E170">
        <v>78299</v>
      </c>
      <c r="F170" t="s">
        <v>12</v>
      </c>
    </row>
    <row r="171" spans="1:22" x14ac:dyDescent="0.2">
      <c r="A171" t="s">
        <v>10</v>
      </c>
      <c r="B171" t="s">
        <v>11</v>
      </c>
      <c r="C171">
        <v>2009</v>
      </c>
      <c r="D171">
        <v>8</v>
      </c>
      <c r="E171">
        <v>62031</v>
      </c>
      <c r="F171" t="s">
        <v>24</v>
      </c>
      <c r="P171" t="s">
        <v>10</v>
      </c>
      <c r="Q171" t="s">
        <v>11</v>
      </c>
      <c r="R171" t="s">
        <v>31</v>
      </c>
      <c r="S171">
        <v>10</v>
      </c>
      <c r="T171">
        <v>6</v>
      </c>
      <c r="U171" t="s">
        <v>29</v>
      </c>
      <c r="V171" t="s">
        <v>18</v>
      </c>
    </row>
    <row r="172" spans="1:22" x14ac:dyDescent="0.2">
      <c r="A172" t="s">
        <v>10</v>
      </c>
      <c r="B172" t="s">
        <v>11</v>
      </c>
      <c r="C172">
        <v>2009</v>
      </c>
      <c r="D172">
        <v>9</v>
      </c>
      <c r="E172">
        <v>62309</v>
      </c>
      <c r="F172" t="s">
        <v>12</v>
      </c>
    </row>
    <row r="173" spans="1:22" x14ac:dyDescent="0.2">
      <c r="A173" t="s">
        <v>10</v>
      </c>
      <c r="B173" t="s">
        <v>11</v>
      </c>
      <c r="C173">
        <v>2009</v>
      </c>
      <c r="D173">
        <v>10</v>
      </c>
      <c r="E173">
        <v>62278</v>
      </c>
      <c r="F173" t="s">
        <v>24</v>
      </c>
    </row>
    <row r="174" spans="1:22" x14ac:dyDescent="0.2">
      <c r="A174" t="s">
        <v>10</v>
      </c>
      <c r="B174" t="s">
        <v>11</v>
      </c>
      <c r="C174">
        <v>2009</v>
      </c>
      <c r="D174">
        <v>11</v>
      </c>
      <c r="E174">
        <v>59839</v>
      </c>
      <c r="F174" t="s">
        <v>12</v>
      </c>
    </row>
    <row r="175" spans="1:22" x14ac:dyDescent="0.2">
      <c r="A175" t="s">
        <v>10</v>
      </c>
      <c r="B175" t="s">
        <v>11</v>
      </c>
      <c r="C175">
        <v>2009</v>
      </c>
      <c r="D175">
        <v>12</v>
      </c>
      <c r="E175">
        <v>69143</v>
      </c>
      <c r="F175" t="s">
        <v>12</v>
      </c>
    </row>
    <row r="176" spans="1:22" x14ac:dyDescent="0.2">
      <c r="A176" t="s">
        <v>10</v>
      </c>
      <c r="B176" t="s">
        <v>11</v>
      </c>
      <c r="C176">
        <v>2009</v>
      </c>
      <c r="D176">
        <v>13</v>
      </c>
      <c r="E176">
        <v>64121</v>
      </c>
      <c r="F176" t="s">
        <v>24</v>
      </c>
    </row>
    <row r="177" spans="1:22" x14ac:dyDescent="0.2">
      <c r="A177" t="s">
        <v>10</v>
      </c>
      <c r="B177" t="s">
        <v>11</v>
      </c>
      <c r="C177">
        <v>2009</v>
      </c>
      <c r="D177">
        <v>14</v>
      </c>
      <c r="E177">
        <v>69732</v>
      </c>
      <c r="F177" t="s">
        <v>12</v>
      </c>
    </row>
    <row r="178" spans="1:22" x14ac:dyDescent="0.2">
      <c r="A178" t="s">
        <v>10</v>
      </c>
      <c r="B178" t="s">
        <v>11</v>
      </c>
      <c r="C178">
        <v>2009</v>
      </c>
      <c r="D178">
        <v>15</v>
      </c>
      <c r="E178">
        <v>40577</v>
      </c>
      <c r="F178" t="s">
        <v>12</v>
      </c>
    </row>
    <row r="179" spans="1:22" x14ac:dyDescent="0.2">
      <c r="A179" t="s">
        <v>10</v>
      </c>
      <c r="B179" t="s">
        <v>11</v>
      </c>
      <c r="C179">
        <v>2009</v>
      </c>
      <c r="D179">
        <v>16</v>
      </c>
      <c r="E179">
        <v>62624</v>
      </c>
      <c r="F179" t="s">
        <v>24</v>
      </c>
    </row>
    <row r="180" spans="1:22" x14ac:dyDescent="0.2">
      <c r="A180" t="s">
        <v>10</v>
      </c>
      <c r="B180" t="s">
        <v>11</v>
      </c>
      <c r="C180">
        <v>2009</v>
      </c>
      <c r="D180">
        <v>17</v>
      </c>
      <c r="E180">
        <v>67597</v>
      </c>
      <c r="F180" t="s">
        <v>24</v>
      </c>
    </row>
    <row r="181" spans="1:22" x14ac:dyDescent="0.2">
      <c r="A181" t="s">
        <v>0</v>
      </c>
      <c r="B181" t="s">
        <v>1</v>
      </c>
      <c r="C181" t="s">
        <v>2</v>
      </c>
      <c r="D181" t="s">
        <v>3</v>
      </c>
      <c r="E181" t="s">
        <v>4</v>
      </c>
      <c r="G181">
        <f>AVERAGEIF(F164:F180,"*home*",E164:E180)</f>
        <v>63142.875</v>
      </c>
      <c r="H181">
        <f>AVERAGE(E164,E166,E168,E171,E173,E176,E179:E180)</f>
        <v>63142.875</v>
      </c>
      <c r="P181" t="s">
        <v>0</v>
      </c>
      <c r="Q181" t="s">
        <v>1</v>
      </c>
      <c r="R181" t="s">
        <v>2</v>
      </c>
      <c r="S181" t="s">
        <v>6</v>
      </c>
      <c r="T181" t="s">
        <v>7</v>
      </c>
      <c r="U181" t="s">
        <v>8</v>
      </c>
      <c r="V181" t="s">
        <v>9</v>
      </c>
    </row>
    <row r="182" spans="1:22" x14ac:dyDescent="0.2">
      <c r="A182" t="s">
        <v>10</v>
      </c>
      <c r="B182" t="s">
        <v>11</v>
      </c>
      <c r="C182">
        <v>2010</v>
      </c>
      <c r="D182">
        <v>1</v>
      </c>
      <c r="E182">
        <v>52440</v>
      </c>
      <c r="F182" t="s">
        <v>12</v>
      </c>
    </row>
    <row r="183" spans="1:22" x14ac:dyDescent="0.2">
      <c r="A183" t="s">
        <v>10</v>
      </c>
      <c r="B183" t="s">
        <v>11</v>
      </c>
      <c r="C183">
        <v>2010</v>
      </c>
      <c r="D183">
        <v>2</v>
      </c>
      <c r="E183">
        <v>66824</v>
      </c>
      <c r="F183" t="s">
        <v>12</v>
      </c>
    </row>
    <row r="184" spans="1:22" x14ac:dyDescent="0.2">
      <c r="A184" t="s">
        <v>10</v>
      </c>
      <c r="B184" t="s">
        <v>11</v>
      </c>
      <c r="C184">
        <v>2010</v>
      </c>
      <c r="D184">
        <v>3</v>
      </c>
      <c r="E184">
        <v>62439</v>
      </c>
      <c r="F184" t="s">
        <v>24</v>
      </c>
    </row>
    <row r="185" spans="1:22" x14ac:dyDescent="0.2">
      <c r="A185" t="s">
        <v>10</v>
      </c>
      <c r="B185" t="s">
        <v>11</v>
      </c>
      <c r="C185">
        <v>2010</v>
      </c>
      <c r="D185">
        <v>4</v>
      </c>
      <c r="E185">
        <v>62189</v>
      </c>
      <c r="F185" t="s">
        <v>12</v>
      </c>
    </row>
    <row r="186" spans="1:22" x14ac:dyDescent="0.2">
      <c r="A186" t="s">
        <v>10</v>
      </c>
      <c r="B186" t="s">
        <v>11</v>
      </c>
      <c r="C186">
        <v>2010</v>
      </c>
      <c r="D186">
        <v>5</v>
      </c>
      <c r="E186">
        <v>62621</v>
      </c>
      <c r="F186" t="s">
        <v>24</v>
      </c>
    </row>
    <row r="187" spans="1:22" x14ac:dyDescent="0.2">
      <c r="A187" t="s">
        <v>10</v>
      </c>
      <c r="B187" t="s">
        <v>11</v>
      </c>
      <c r="C187">
        <v>2010</v>
      </c>
      <c r="D187">
        <v>6</v>
      </c>
      <c r="E187">
        <v>0</v>
      </c>
      <c r="F187" t="s">
        <v>14</v>
      </c>
    </row>
    <row r="188" spans="1:22" x14ac:dyDescent="0.2">
      <c r="A188" t="s">
        <v>10</v>
      </c>
      <c r="B188" t="s">
        <v>11</v>
      </c>
      <c r="C188">
        <v>2010</v>
      </c>
      <c r="D188">
        <v>7</v>
      </c>
      <c r="E188">
        <v>67132</v>
      </c>
      <c r="F188" t="s">
        <v>12</v>
      </c>
    </row>
    <row r="189" spans="1:22" x14ac:dyDescent="0.2">
      <c r="A189" t="s">
        <v>10</v>
      </c>
      <c r="B189" t="s">
        <v>11</v>
      </c>
      <c r="C189">
        <v>2010</v>
      </c>
      <c r="D189">
        <v>8</v>
      </c>
      <c r="E189">
        <v>61857</v>
      </c>
      <c r="F189" t="s">
        <v>24</v>
      </c>
      <c r="P189" t="s">
        <v>10</v>
      </c>
      <c r="Q189" t="s">
        <v>11</v>
      </c>
      <c r="R189" t="s">
        <v>32</v>
      </c>
      <c r="S189">
        <v>5</v>
      </c>
      <c r="T189">
        <v>11</v>
      </c>
      <c r="U189" t="s">
        <v>17</v>
      </c>
      <c r="V189" t="s">
        <v>18</v>
      </c>
    </row>
    <row r="190" spans="1:22" x14ac:dyDescent="0.2">
      <c r="A190" t="s">
        <v>10</v>
      </c>
      <c r="B190" t="s">
        <v>11</v>
      </c>
      <c r="C190">
        <v>2010</v>
      </c>
      <c r="D190">
        <v>9</v>
      </c>
      <c r="E190">
        <v>64120</v>
      </c>
      <c r="F190" t="s">
        <v>12</v>
      </c>
    </row>
    <row r="191" spans="1:22" x14ac:dyDescent="0.2">
      <c r="A191" t="s">
        <v>10</v>
      </c>
      <c r="B191" t="s">
        <v>11</v>
      </c>
      <c r="C191">
        <v>2010</v>
      </c>
      <c r="D191">
        <v>10</v>
      </c>
      <c r="E191">
        <v>61904</v>
      </c>
      <c r="F191" t="s">
        <v>24</v>
      </c>
    </row>
    <row r="192" spans="1:22" x14ac:dyDescent="0.2">
      <c r="A192" t="s">
        <v>10</v>
      </c>
      <c r="B192" t="s">
        <v>11</v>
      </c>
      <c r="C192">
        <v>2010</v>
      </c>
      <c r="D192">
        <v>11</v>
      </c>
      <c r="E192">
        <v>66247</v>
      </c>
      <c r="F192" t="s">
        <v>12</v>
      </c>
    </row>
    <row r="193" spans="1:22" x14ac:dyDescent="0.2">
      <c r="A193" t="s">
        <v>10</v>
      </c>
      <c r="B193" t="s">
        <v>11</v>
      </c>
      <c r="C193">
        <v>2010</v>
      </c>
      <c r="D193">
        <v>12</v>
      </c>
      <c r="E193">
        <v>62308</v>
      </c>
      <c r="F193" t="s">
        <v>24</v>
      </c>
    </row>
    <row r="194" spans="1:22" x14ac:dyDescent="0.2">
      <c r="A194" t="s">
        <v>10</v>
      </c>
      <c r="B194" t="s">
        <v>11</v>
      </c>
      <c r="C194">
        <v>2010</v>
      </c>
      <c r="D194">
        <v>13</v>
      </c>
      <c r="E194">
        <v>61874</v>
      </c>
      <c r="F194" t="s">
        <v>24</v>
      </c>
    </row>
    <row r="195" spans="1:22" x14ac:dyDescent="0.2">
      <c r="A195" t="s">
        <v>10</v>
      </c>
      <c r="B195" t="s">
        <v>11</v>
      </c>
      <c r="C195">
        <v>2010</v>
      </c>
      <c r="D195">
        <v>14</v>
      </c>
      <c r="E195">
        <v>62223</v>
      </c>
      <c r="F195" t="s">
        <v>24</v>
      </c>
    </row>
    <row r="196" spans="1:22" x14ac:dyDescent="0.2">
      <c r="A196" t="s">
        <v>10</v>
      </c>
      <c r="B196" t="s">
        <v>11</v>
      </c>
      <c r="C196">
        <v>2010</v>
      </c>
      <c r="D196">
        <v>15</v>
      </c>
      <c r="E196">
        <v>71849</v>
      </c>
      <c r="F196" t="s">
        <v>12</v>
      </c>
    </row>
    <row r="197" spans="1:22" x14ac:dyDescent="0.2">
      <c r="A197" t="s">
        <v>10</v>
      </c>
      <c r="B197" t="s">
        <v>11</v>
      </c>
      <c r="C197">
        <v>2010</v>
      </c>
      <c r="D197">
        <v>16</v>
      </c>
      <c r="E197">
        <v>66971</v>
      </c>
      <c r="F197" t="s">
        <v>24</v>
      </c>
    </row>
    <row r="198" spans="1:22" x14ac:dyDescent="0.2">
      <c r="A198" t="s">
        <v>10</v>
      </c>
      <c r="B198" t="s">
        <v>11</v>
      </c>
      <c r="C198">
        <v>2010</v>
      </c>
      <c r="D198">
        <v>17</v>
      </c>
      <c r="E198">
        <v>69732</v>
      </c>
      <c r="F198" t="s">
        <v>12</v>
      </c>
    </row>
    <row r="199" spans="1:22" x14ac:dyDescent="0.2">
      <c r="A199" t="s">
        <v>0</v>
      </c>
      <c r="B199" t="s">
        <v>1</v>
      </c>
      <c r="C199" t="s">
        <v>2</v>
      </c>
      <c r="D199" t="s">
        <v>3</v>
      </c>
      <c r="E199" t="s">
        <v>4</v>
      </c>
      <c r="G199">
        <f>AVERAGEIF(F182:F198,"*home*",E182:E198)</f>
        <v>62774.625</v>
      </c>
      <c r="H199">
        <f>AVERAGE(E184,E186,E189,E191,E193:E195,E197)</f>
        <v>62774.625</v>
      </c>
      <c r="P199" t="s">
        <v>0</v>
      </c>
      <c r="Q199" t="s">
        <v>1</v>
      </c>
      <c r="R199" t="s">
        <v>2</v>
      </c>
      <c r="S199" t="s">
        <v>6</v>
      </c>
      <c r="T199" t="s">
        <v>7</v>
      </c>
      <c r="U199" t="s">
        <v>8</v>
      </c>
      <c r="V199" t="s">
        <v>9</v>
      </c>
    </row>
    <row r="200" spans="1:22" x14ac:dyDescent="0.2">
      <c r="A200" t="s">
        <v>10</v>
      </c>
      <c r="B200" t="s">
        <v>11</v>
      </c>
      <c r="C200">
        <v>2011</v>
      </c>
      <c r="D200">
        <v>1</v>
      </c>
      <c r="E200">
        <v>60627</v>
      </c>
      <c r="F200" t="s">
        <v>24</v>
      </c>
    </row>
    <row r="201" spans="1:22" x14ac:dyDescent="0.2">
      <c r="A201" t="s">
        <v>10</v>
      </c>
      <c r="B201" t="s">
        <v>11</v>
      </c>
      <c r="C201">
        <v>2011</v>
      </c>
      <c r="D201">
        <v>2</v>
      </c>
      <c r="E201">
        <v>76330</v>
      </c>
      <c r="F201" t="s">
        <v>12</v>
      </c>
    </row>
    <row r="202" spans="1:22" x14ac:dyDescent="0.2">
      <c r="A202" t="s">
        <v>10</v>
      </c>
      <c r="B202" t="s">
        <v>11</v>
      </c>
      <c r="C202">
        <v>2011</v>
      </c>
      <c r="D202">
        <v>3</v>
      </c>
      <c r="E202">
        <v>66199</v>
      </c>
      <c r="F202" t="s">
        <v>12</v>
      </c>
    </row>
    <row r="203" spans="1:22" x14ac:dyDescent="0.2">
      <c r="A203" t="s">
        <v>10</v>
      </c>
      <c r="B203" t="s">
        <v>11</v>
      </c>
      <c r="C203">
        <v>2011</v>
      </c>
      <c r="D203">
        <v>4</v>
      </c>
      <c r="E203">
        <v>60496</v>
      </c>
      <c r="F203" t="s">
        <v>24</v>
      </c>
    </row>
    <row r="204" spans="1:22" x14ac:dyDescent="0.2">
      <c r="A204" t="s">
        <v>10</v>
      </c>
      <c r="B204" t="s">
        <v>11</v>
      </c>
      <c r="C204">
        <v>2011</v>
      </c>
      <c r="D204">
        <v>5</v>
      </c>
      <c r="E204">
        <v>62479</v>
      </c>
      <c r="F204" t="s">
        <v>12</v>
      </c>
    </row>
    <row r="205" spans="1:22" x14ac:dyDescent="0.2">
      <c r="A205" t="s">
        <v>10</v>
      </c>
      <c r="B205" t="s">
        <v>11</v>
      </c>
      <c r="C205">
        <v>2011</v>
      </c>
      <c r="D205">
        <v>6</v>
      </c>
      <c r="E205">
        <v>0</v>
      </c>
      <c r="F205" t="s">
        <v>14</v>
      </c>
    </row>
    <row r="206" spans="1:22" x14ac:dyDescent="0.2">
      <c r="A206" t="s">
        <v>10</v>
      </c>
      <c r="B206" t="s">
        <v>11</v>
      </c>
      <c r="C206">
        <v>2011</v>
      </c>
      <c r="D206">
        <v>7</v>
      </c>
      <c r="E206">
        <v>62475</v>
      </c>
      <c r="F206" t="s">
        <v>24</v>
      </c>
    </row>
    <row r="207" spans="1:22" x14ac:dyDescent="0.2">
      <c r="A207" t="s">
        <v>10</v>
      </c>
      <c r="B207" t="s">
        <v>11</v>
      </c>
      <c r="C207">
        <v>2011</v>
      </c>
      <c r="D207">
        <v>8</v>
      </c>
      <c r="E207">
        <v>71022</v>
      </c>
      <c r="F207" t="s">
        <v>12</v>
      </c>
      <c r="P207" t="s">
        <v>10</v>
      </c>
      <c r="Q207" t="s">
        <v>11</v>
      </c>
      <c r="R207" t="s">
        <v>33</v>
      </c>
      <c r="S207">
        <v>8</v>
      </c>
      <c r="T207">
        <v>8</v>
      </c>
      <c r="U207" t="s">
        <v>17</v>
      </c>
      <c r="V207" t="s">
        <v>18</v>
      </c>
    </row>
    <row r="208" spans="1:22" x14ac:dyDescent="0.2">
      <c r="A208" t="s">
        <v>10</v>
      </c>
      <c r="B208" t="s">
        <v>11</v>
      </c>
      <c r="C208">
        <v>2011</v>
      </c>
      <c r="D208">
        <v>9</v>
      </c>
      <c r="E208">
        <v>60628</v>
      </c>
      <c r="F208" t="s">
        <v>24</v>
      </c>
    </row>
    <row r="209" spans="1:22" x14ac:dyDescent="0.2">
      <c r="A209" t="s">
        <v>10</v>
      </c>
      <c r="B209" t="s">
        <v>11</v>
      </c>
      <c r="C209">
        <v>2011</v>
      </c>
      <c r="D209">
        <v>10</v>
      </c>
      <c r="E209">
        <v>69144</v>
      </c>
      <c r="F209" t="s">
        <v>12</v>
      </c>
    </row>
    <row r="210" spans="1:22" x14ac:dyDescent="0.2">
      <c r="A210" t="s">
        <v>10</v>
      </c>
      <c r="B210" t="s">
        <v>11</v>
      </c>
      <c r="C210">
        <v>2011</v>
      </c>
      <c r="D210">
        <v>11</v>
      </c>
      <c r="E210">
        <v>69732</v>
      </c>
      <c r="F210" t="s">
        <v>12</v>
      </c>
    </row>
    <row r="211" spans="1:22" x14ac:dyDescent="0.2">
      <c r="A211" t="s">
        <v>10</v>
      </c>
      <c r="B211" t="s">
        <v>11</v>
      </c>
      <c r="C211">
        <v>2011</v>
      </c>
      <c r="D211">
        <v>12</v>
      </c>
      <c r="E211">
        <v>56029</v>
      </c>
      <c r="F211" t="s">
        <v>12</v>
      </c>
    </row>
    <row r="212" spans="1:22" x14ac:dyDescent="0.2">
      <c r="A212" t="s">
        <v>10</v>
      </c>
      <c r="B212" t="s">
        <v>11</v>
      </c>
      <c r="C212">
        <v>2011</v>
      </c>
      <c r="D212">
        <v>13</v>
      </c>
      <c r="E212">
        <v>62180</v>
      </c>
      <c r="F212" t="s">
        <v>24</v>
      </c>
    </row>
    <row r="213" spans="1:22" x14ac:dyDescent="0.2">
      <c r="A213" t="s">
        <v>10</v>
      </c>
      <c r="B213" t="s">
        <v>11</v>
      </c>
      <c r="C213">
        <v>2011</v>
      </c>
      <c r="D213">
        <v>14</v>
      </c>
      <c r="E213">
        <v>60808</v>
      </c>
      <c r="F213" t="s">
        <v>24</v>
      </c>
    </row>
    <row r="214" spans="1:22" x14ac:dyDescent="0.2">
      <c r="A214" t="s">
        <v>10</v>
      </c>
      <c r="B214" t="s">
        <v>11</v>
      </c>
      <c r="C214">
        <v>2011</v>
      </c>
      <c r="D214">
        <v>15</v>
      </c>
      <c r="E214">
        <v>60443</v>
      </c>
      <c r="F214" t="s">
        <v>24</v>
      </c>
    </row>
    <row r="215" spans="1:22" x14ac:dyDescent="0.2">
      <c r="A215" t="s">
        <v>10</v>
      </c>
      <c r="B215" t="s">
        <v>11</v>
      </c>
      <c r="C215">
        <v>2011</v>
      </c>
      <c r="D215">
        <v>16</v>
      </c>
      <c r="E215">
        <v>41273</v>
      </c>
      <c r="F215" t="s">
        <v>12</v>
      </c>
    </row>
    <row r="216" spans="1:22" x14ac:dyDescent="0.2">
      <c r="A216" t="s">
        <v>10</v>
      </c>
      <c r="B216" t="s">
        <v>11</v>
      </c>
      <c r="C216">
        <v>2011</v>
      </c>
      <c r="D216">
        <v>17</v>
      </c>
      <c r="E216">
        <v>61798</v>
      </c>
      <c r="F216" t="s">
        <v>24</v>
      </c>
    </row>
    <row r="217" spans="1:22" x14ac:dyDescent="0.2">
      <c r="A217" t="s">
        <v>0</v>
      </c>
      <c r="B217" t="s">
        <v>1</v>
      </c>
      <c r="C217" t="s">
        <v>2</v>
      </c>
      <c r="D217" t="s">
        <v>3</v>
      </c>
      <c r="E217" t="s">
        <v>4</v>
      </c>
      <c r="G217">
        <f>AVERAGEIF(F200:F216,"*home*",E200:E216)</f>
        <v>61181.875</v>
      </c>
      <c r="H217">
        <f>AVERAGE(E200,E203,E206,E208,E212:E214,E216)</f>
        <v>61181.875</v>
      </c>
      <c r="P217" t="s">
        <v>0</v>
      </c>
      <c r="Q217" t="s">
        <v>1</v>
      </c>
      <c r="R217" t="s">
        <v>2</v>
      </c>
      <c r="S217" t="s">
        <v>6</v>
      </c>
      <c r="T217" t="s">
        <v>7</v>
      </c>
      <c r="U217" t="s">
        <v>8</v>
      </c>
      <c r="V217" t="s">
        <v>9</v>
      </c>
    </row>
    <row r="218" spans="1:22" x14ac:dyDescent="0.2">
      <c r="A218" t="s">
        <v>10</v>
      </c>
      <c r="B218" t="s">
        <v>11</v>
      </c>
      <c r="C218">
        <v>2012</v>
      </c>
      <c r="D218">
        <v>1</v>
      </c>
      <c r="E218">
        <v>60032</v>
      </c>
      <c r="F218" t="s">
        <v>24</v>
      </c>
    </row>
    <row r="219" spans="1:22" x14ac:dyDescent="0.2">
      <c r="A219" t="s">
        <v>10</v>
      </c>
      <c r="B219" t="s">
        <v>11</v>
      </c>
      <c r="C219">
        <v>2012</v>
      </c>
      <c r="D219">
        <v>2</v>
      </c>
      <c r="E219">
        <v>68756</v>
      </c>
      <c r="F219" t="s">
        <v>12</v>
      </c>
    </row>
    <row r="220" spans="1:22" x14ac:dyDescent="0.2">
      <c r="A220" t="s">
        <v>10</v>
      </c>
      <c r="B220" t="s">
        <v>11</v>
      </c>
      <c r="C220">
        <v>2012</v>
      </c>
      <c r="D220">
        <v>3</v>
      </c>
      <c r="E220">
        <v>60436</v>
      </c>
      <c r="F220" t="s">
        <v>24</v>
      </c>
    </row>
    <row r="221" spans="1:22" x14ac:dyDescent="0.2">
      <c r="A221" t="s">
        <v>10</v>
      </c>
      <c r="B221" t="s">
        <v>11</v>
      </c>
      <c r="C221">
        <v>2012</v>
      </c>
      <c r="D221">
        <v>4</v>
      </c>
      <c r="E221">
        <v>60183</v>
      </c>
      <c r="F221" t="s">
        <v>24</v>
      </c>
    </row>
    <row r="222" spans="1:22" x14ac:dyDescent="0.2">
      <c r="A222" t="s">
        <v>10</v>
      </c>
      <c r="B222" t="s">
        <v>11</v>
      </c>
      <c r="C222">
        <v>2012</v>
      </c>
      <c r="D222">
        <v>5</v>
      </c>
      <c r="E222">
        <v>54653</v>
      </c>
      <c r="F222" t="s">
        <v>12</v>
      </c>
    </row>
    <row r="223" spans="1:22" x14ac:dyDescent="0.2">
      <c r="A223" t="s">
        <v>10</v>
      </c>
      <c r="B223" t="s">
        <v>11</v>
      </c>
      <c r="C223">
        <v>2012</v>
      </c>
      <c r="D223">
        <v>6</v>
      </c>
      <c r="E223">
        <v>60385</v>
      </c>
      <c r="F223" t="s">
        <v>24</v>
      </c>
    </row>
    <row r="224" spans="1:22" x14ac:dyDescent="0.2">
      <c r="A224" t="s">
        <v>10</v>
      </c>
      <c r="B224" t="s">
        <v>11</v>
      </c>
      <c r="C224">
        <v>2012</v>
      </c>
      <c r="D224">
        <v>7</v>
      </c>
      <c r="E224">
        <v>61068</v>
      </c>
      <c r="F224" t="s">
        <v>12</v>
      </c>
    </row>
    <row r="225" spans="1:22" x14ac:dyDescent="0.2">
      <c r="A225" t="s">
        <v>10</v>
      </c>
      <c r="B225" t="s">
        <v>11</v>
      </c>
      <c r="C225">
        <v>2012</v>
      </c>
      <c r="D225">
        <v>8</v>
      </c>
      <c r="E225">
        <v>62810</v>
      </c>
      <c r="F225" t="s">
        <v>24</v>
      </c>
      <c r="P225" t="s">
        <v>10</v>
      </c>
      <c r="Q225" t="s">
        <v>11</v>
      </c>
      <c r="R225" t="s">
        <v>34</v>
      </c>
      <c r="S225">
        <v>5</v>
      </c>
      <c r="T225">
        <v>11</v>
      </c>
      <c r="U225" t="s">
        <v>17</v>
      </c>
      <c r="V225" t="s">
        <v>18</v>
      </c>
    </row>
    <row r="226" spans="1:22" x14ac:dyDescent="0.2">
      <c r="A226" t="s">
        <v>10</v>
      </c>
      <c r="B226" t="s">
        <v>11</v>
      </c>
      <c r="C226">
        <v>2012</v>
      </c>
      <c r="D226">
        <v>9</v>
      </c>
      <c r="E226">
        <v>70504</v>
      </c>
      <c r="F226" t="s">
        <v>12</v>
      </c>
    </row>
    <row r="227" spans="1:22" x14ac:dyDescent="0.2">
      <c r="A227" t="s">
        <v>10</v>
      </c>
      <c r="B227" t="s">
        <v>11</v>
      </c>
      <c r="C227">
        <v>2012</v>
      </c>
      <c r="D227">
        <v>10</v>
      </c>
      <c r="E227">
        <v>0</v>
      </c>
      <c r="F227" t="s">
        <v>14</v>
      </c>
    </row>
    <row r="228" spans="1:22" x14ac:dyDescent="0.2">
      <c r="A228" t="s">
        <v>10</v>
      </c>
      <c r="B228" t="s">
        <v>11</v>
      </c>
      <c r="C228">
        <v>2012</v>
      </c>
      <c r="D228">
        <v>11</v>
      </c>
      <c r="E228">
        <v>69630</v>
      </c>
      <c r="F228" t="s">
        <v>12</v>
      </c>
    </row>
    <row r="229" spans="1:22" x14ac:dyDescent="0.2">
      <c r="A229" t="s">
        <v>10</v>
      </c>
      <c r="B229" t="s">
        <v>11</v>
      </c>
      <c r="C229">
        <v>2012</v>
      </c>
      <c r="D229">
        <v>12</v>
      </c>
      <c r="E229">
        <v>60062</v>
      </c>
      <c r="F229" t="s">
        <v>24</v>
      </c>
    </row>
    <row r="230" spans="1:22" x14ac:dyDescent="0.2">
      <c r="A230" t="s">
        <v>10</v>
      </c>
      <c r="B230" t="s">
        <v>11</v>
      </c>
      <c r="C230">
        <v>2012</v>
      </c>
      <c r="D230">
        <v>13</v>
      </c>
      <c r="E230">
        <v>79088</v>
      </c>
      <c r="F230" t="s">
        <v>12</v>
      </c>
    </row>
    <row r="231" spans="1:22" x14ac:dyDescent="0.2">
      <c r="A231" t="s">
        <v>10</v>
      </c>
      <c r="B231" t="s">
        <v>11</v>
      </c>
      <c r="C231">
        <v>2012</v>
      </c>
      <c r="D231">
        <v>14</v>
      </c>
      <c r="E231">
        <v>67685</v>
      </c>
      <c r="F231" t="s">
        <v>12</v>
      </c>
    </row>
    <row r="232" spans="1:22" x14ac:dyDescent="0.2">
      <c r="A232" t="s">
        <v>10</v>
      </c>
      <c r="B232" t="s">
        <v>11</v>
      </c>
      <c r="C232">
        <v>2012</v>
      </c>
      <c r="D232">
        <v>15</v>
      </c>
      <c r="E232">
        <v>60483</v>
      </c>
      <c r="F232" t="s">
        <v>24</v>
      </c>
    </row>
    <row r="233" spans="1:22" x14ac:dyDescent="0.2">
      <c r="A233" t="s">
        <v>10</v>
      </c>
      <c r="B233" t="s">
        <v>11</v>
      </c>
      <c r="C233">
        <v>2012</v>
      </c>
      <c r="D233">
        <v>16</v>
      </c>
      <c r="E233">
        <v>62734</v>
      </c>
      <c r="F233" t="s">
        <v>24</v>
      </c>
    </row>
    <row r="234" spans="1:22" x14ac:dyDescent="0.2">
      <c r="A234" t="s">
        <v>10</v>
      </c>
      <c r="B234" t="s">
        <v>11</v>
      </c>
      <c r="C234">
        <v>2012</v>
      </c>
      <c r="D234">
        <v>17</v>
      </c>
      <c r="E234">
        <v>69732</v>
      </c>
      <c r="F234" t="s">
        <v>12</v>
      </c>
    </row>
    <row r="235" spans="1:22" x14ac:dyDescent="0.2">
      <c r="A235" t="s">
        <v>0</v>
      </c>
      <c r="B235" t="s">
        <v>1</v>
      </c>
      <c r="C235" t="s">
        <v>2</v>
      </c>
      <c r="D235" t="s">
        <v>3</v>
      </c>
      <c r="E235" t="s">
        <v>4</v>
      </c>
      <c r="G235">
        <f>AVERAGEIF(F218:F234,"*home*",E218:E234)</f>
        <v>60890.625</v>
      </c>
      <c r="H235">
        <f>AVERAGE(E218,E220:E221,E223,E225,E229,E232:E233)</f>
        <v>60890.625</v>
      </c>
      <c r="P235" t="s">
        <v>0</v>
      </c>
      <c r="Q235" t="s">
        <v>1</v>
      </c>
      <c r="R235" t="s">
        <v>2</v>
      </c>
      <c r="S235" t="s">
        <v>6</v>
      </c>
      <c r="T235" t="s">
        <v>7</v>
      </c>
      <c r="U235" t="s">
        <v>8</v>
      </c>
      <c r="V235" t="s">
        <v>9</v>
      </c>
    </row>
    <row r="236" spans="1:22" x14ac:dyDescent="0.2">
      <c r="A236" t="s">
        <v>10</v>
      </c>
      <c r="B236" t="s">
        <v>11</v>
      </c>
      <c r="C236">
        <v>2013</v>
      </c>
      <c r="D236">
        <v>1</v>
      </c>
      <c r="E236">
        <v>55279</v>
      </c>
      <c r="F236" t="s">
        <v>12</v>
      </c>
    </row>
    <row r="237" spans="1:22" x14ac:dyDescent="0.2">
      <c r="A237" t="s">
        <v>10</v>
      </c>
      <c r="B237" t="s">
        <v>11</v>
      </c>
      <c r="C237">
        <v>2013</v>
      </c>
      <c r="D237">
        <v>2</v>
      </c>
      <c r="E237">
        <v>60034</v>
      </c>
      <c r="F237" t="s">
        <v>24</v>
      </c>
    </row>
    <row r="238" spans="1:22" x14ac:dyDescent="0.2">
      <c r="A238" t="s">
        <v>10</v>
      </c>
      <c r="B238" t="s">
        <v>11</v>
      </c>
      <c r="C238">
        <v>2013</v>
      </c>
      <c r="D238">
        <v>3</v>
      </c>
      <c r="E238">
        <v>73057</v>
      </c>
      <c r="F238" t="s">
        <v>12</v>
      </c>
    </row>
    <row r="239" spans="1:22" x14ac:dyDescent="0.2">
      <c r="A239" t="s">
        <v>10</v>
      </c>
      <c r="B239" t="s">
        <v>11</v>
      </c>
      <c r="C239">
        <v>2013</v>
      </c>
      <c r="D239">
        <v>4</v>
      </c>
      <c r="E239">
        <v>44956</v>
      </c>
      <c r="F239" t="s">
        <v>12</v>
      </c>
    </row>
    <row r="240" spans="1:22" x14ac:dyDescent="0.2">
      <c r="A240" t="s">
        <v>10</v>
      </c>
      <c r="B240" t="s">
        <v>11</v>
      </c>
      <c r="C240">
        <v>2013</v>
      </c>
      <c r="D240">
        <v>5</v>
      </c>
      <c r="E240">
        <v>60426</v>
      </c>
      <c r="F240" t="s">
        <v>24</v>
      </c>
    </row>
    <row r="241" spans="1:22" x14ac:dyDescent="0.2">
      <c r="A241" t="s">
        <v>10</v>
      </c>
      <c r="B241" t="s">
        <v>11</v>
      </c>
      <c r="C241">
        <v>2013</v>
      </c>
      <c r="D241">
        <v>6</v>
      </c>
      <c r="E241">
        <v>69732</v>
      </c>
      <c r="F241" t="s">
        <v>12</v>
      </c>
    </row>
    <row r="242" spans="1:22" x14ac:dyDescent="0.2">
      <c r="A242" t="s">
        <v>10</v>
      </c>
      <c r="B242" t="s">
        <v>11</v>
      </c>
      <c r="C242">
        <v>2013</v>
      </c>
      <c r="D242">
        <v>7</v>
      </c>
      <c r="E242">
        <v>61200</v>
      </c>
      <c r="F242" t="s">
        <v>24</v>
      </c>
    </row>
    <row r="243" spans="1:22" x14ac:dyDescent="0.2">
      <c r="A243" t="s">
        <v>10</v>
      </c>
      <c r="B243" t="s">
        <v>11</v>
      </c>
      <c r="C243">
        <v>2013</v>
      </c>
      <c r="D243">
        <v>8</v>
      </c>
      <c r="E243">
        <v>60671</v>
      </c>
      <c r="F243" t="s">
        <v>24</v>
      </c>
      <c r="P243" t="s">
        <v>10</v>
      </c>
      <c r="Q243" t="s">
        <v>11</v>
      </c>
      <c r="R243" t="s">
        <v>35</v>
      </c>
      <c r="S243">
        <v>10</v>
      </c>
      <c r="T243">
        <v>6</v>
      </c>
      <c r="U243" t="s">
        <v>17</v>
      </c>
      <c r="V243" t="s">
        <v>18</v>
      </c>
    </row>
    <row r="244" spans="1:22" x14ac:dyDescent="0.2">
      <c r="A244" t="s">
        <v>10</v>
      </c>
      <c r="B244" t="s">
        <v>11</v>
      </c>
      <c r="C244">
        <v>2013</v>
      </c>
      <c r="D244">
        <v>9</v>
      </c>
      <c r="E244">
        <v>0</v>
      </c>
      <c r="F244" t="s">
        <v>14</v>
      </c>
    </row>
    <row r="245" spans="1:22" x14ac:dyDescent="0.2">
      <c r="A245" t="s">
        <v>10</v>
      </c>
      <c r="B245" t="s">
        <v>11</v>
      </c>
      <c r="C245">
        <v>2013</v>
      </c>
      <c r="D245">
        <v>10</v>
      </c>
      <c r="E245">
        <v>60845</v>
      </c>
      <c r="F245" t="s">
        <v>24</v>
      </c>
    </row>
    <row r="246" spans="1:22" x14ac:dyDescent="0.2">
      <c r="A246" t="s">
        <v>10</v>
      </c>
      <c r="B246" t="s">
        <v>11</v>
      </c>
      <c r="C246">
        <v>2013</v>
      </c>
      <c r="D246">
        <v>11</v>
      </c>
      <c r="E246">
        <v>59862</v>
      </c>
      <c r="F246" t="s">
        <v>12</v>
      </c>
    </row>
    <row r="247" spans="1:22" x14ac:dyDescent="0.2">
      <c r="A247" t="s">
        <v>10</v>
      </c>
      <c r="B247" t="s">
        <v>11</v>
      </c>
      <c r="C247">
        <v>2013</v>
      </c>
      <c r="D247">
        <v>12</v>
      </c>
      <c r="E247">
        <v>60882</v>
      </c>
      <c r="F247" t="s">
        <v>24</v>
      </c>
    </row>
    <row r="248" spans="1:22" x14ac:dyDescent="0.2">
      <c r="A248" t="s">
        <v>10</v>
      </c>
      <c r="B248" t="s">
        <v>11</v>
      </c>
      <c r="C248">
        <v>2013</v>
      </c>
      <c r="D248">
        <v>13</v>
      </c>
      <c r="E248">
        <v>69144</v>
      </c>
      <c r="F248" t="s">
        <v>12</v>
      </c>
    </row>
    <row r="249" spans="1:22" x14ac:dyDescent="0.2">
      <c r="A249" t="s">
        <v>10</v>
      </c>
      <c r="B249" t="s">
        <v>11</v>
      </c>
      <c r="C249">
        <v>2013</v>
      </c>
      <c r="D249">
        <v>14</v>
      </c>
      <c r="E249">
        <v>60643</v>
      </c>
      <c r="F249" t="s">
        <v>24</v>
      </c>
    </row>
    <row r="250" spans="1:22" x14ac:dyDescent="0.2">
      <c r="A250" t="s">
        <v>10</v>
      </c>
      <c r="B250" t="s">
        <v>11</v>
      </c>
      <c r="C250">
        <v>2013</v>
      </c>
      <c r="D250">
        <v>15</v>
      </c>
      <c r="E250">
        <v>69143</v>
      </c>
      <c r="F250" t="s">
        <v>12</v>
      </c>
    </row>
    <row r="251" spans="1:22" x14ac:dyDescent="0.2">
      <c r="A251" t="s">
        <v>10</v>
      </c>
      <c r="B251" t="s">
        <v>11</v>
      </c>
      <c r="C251">
        <v>2013</v>
      </c>
      <c r="D251">
        <v>16</v>
      </c>
      <c r="E251">
        <v>68266</v>
      </c>
      <c r="F251" t="s">
        <v>12</v>
      </c>
    </row>
    <row r="252" spans="1:22" x14ac:dyDescent="0.2">
      <c r="A252" t="s">
        <v>10</v>
      </c>
      <c r="B252" t="s">
        <v>11</v>
      </c>
      <c r="C252">
        <v>2013</v>
      </c>
      <c r="D252">
        <v>17</v>
      </c>
      <c r="E252">
        <v>63570</v>
      </c>
      <c r="F252" t="s">
        <v>24</v>
      </c>
      <c r="G252">
        <f>AVERAGE(E237,E240,E242:E243,E245,E247,E249,E252)</f>
        <v>61033.875</v>
      </c>
    </row>
    <row r="253" spans="1:22" x14ac:dyDescent="0.2">
      <c r="A253" t="s">
        <v>0</v>
      </c>
      <c r="B253" t="s">
        <v>1</v>
      </c>
      <c r="C253" t="s">
        <v>2</v>
      </c>
      <c r="D253" t="s">
        <v>3</v>
      </c>
      <c r="E253" t="s">
        <v>4</v>
      </c>
      <c r="G253">
        <f>AVERAGEIF(F236:F252,"*home*",E236:E252)</f>
        <v>61033.875</v>
      </c>
      <c r="P253" t="s">
        <v>0</v>
      </c>
      <c r="Q253" t="s">
        <v>1</v>
      </c>
      <c r="R253" t="s">
        <v>2</v>
      </c>
      <c r="S253" t="s">
        <v>6</v>
      </c>
      <c r="T253" t="s">
        <v>7</v>
      </c>
      <c r="U253" t="s">
        <v>8</v>
      </c>
      <c r="V253" t="s">
        <v>9</v>
      </c>
    </row>
    <row r="254" spans="1:22" x14ac:dyDescent="0.2">
      <c r="A254" t="s">
        <v>10</v>
      </c>
      <c r="B254" t="s">
        <v>11</v>
      </c>
      <c r="C254">
        <v>2014</v>
      </c>
      <c r="D254">
        <v>1</v>
      </c>
      <c r="E254">
        <v>61292</v>
      </c>
      <c r="F254" t="s">
        <v>13</v>
      </c>
    </row>
    <row r="255" spans="1:22" x14ac:dyDescent="0.2">
      <c r="A255" t="s">
        <v>10</v>
      </c>
      <c r="B255" t="s">
        <v>11</v>
      </c>
      <c r="C255">
        <v>2014</v>
      </c>
      <c r="D255">
        <v>2</v>
      </c>
      <c r="E255">
        <v>78344</v>
      </c>
      <c r="F255" t="s">
        <v>12</v>
      </c>
    </row>
    <row r="256" spans="1:22" x14ac:dyDescent="0.2">
      <c r="A256" t="s">
        <v>10</v>
      </c>
      <c r="B256" t="s">
        <v>11</v>
      </c>
      <c r="C256">
        <v>2014</v>
      </c>
      <c r="D256">
        <v>3</v>
      </c>
      <c r="E256">
        <v>61572</v>
      </c>
      <c r="F256" t="s">
        <v>24</v>
      </c>
    </row>
    <row r="257" spans="1:22" x14ac:dyDescent="0.2">
      <c r="A257" t="s">
        <v>10</v>
      </c>
      <c r="B257" t="s">
        <v>11</v>
      </c>
      <c r="C257">
        <v>2014</v>
      </c>
      <c r="D257">
        <v>4</v>
      </c>
      <c r="E257">
        <v>0</v>
      </c>
      <c r="F257" t="s">
        <v>14</v>
      </c>
    </row>
    <row r="258" spans="1:22" x14ac:dyDescent="0.2">
      <c r="A258" t="s">
        <v>10</v>
      </c>
      <c r="B258" t="s">
        <v>11</v>
      </c>
      <c r="C258">
        <v>2014</v>
      </c>
      <c r="D258">
        <v>5</v>
      </c>
      <c r="E258">
        <v>76895</v>
      </c>
      <c r="F258" t="s">
        <v>12</v>
      </c>
    </row>
    <row r="259" spans="1:22" x14ac:dyDescent="0.2">
      <c r="A259" t="s">
        <v>10</v>
      </c>
      <c r="B259" t="s">
        <v>11</v>
      </c>
      <c r="C259">
        <v>2014</v>
      </c>
      <c r="D259">
        <v>6</v>
      </c>
      <c r="E259">
        <v>61139</v>
      </c>
      <c r="F259" t="s">
        <v>24</v>
      </c>
    </row>
    <row r="260" spans="1:22" x14ac:dyDescent="0.2">
      <c r="A260" t="s">
        <v>10</v>
      </c>
      <c r="B260" t="s">
        <v>11</v>
      </c>
      <c r="C260">
        <v>2014</v>
      </c>
      <c r="D260">
        <v>7</v>
      </c>
      <c r="E260">
        <v>52101</v>
      </c>
      <c r="F260" t="s">
        <v>12</v>
      </c>
    </row>
    <row r="261" spans="1:22" x14ac:dyDescent="0.2">
      <c r="A261" t="s">
        <v>10</v>
      </c>
      <c r="B261" t="s">
        <v>11</v>
      </c>
      <c r="C261">
        <v>2014</v>
      </c>
      <c r="D261">
        <v>8</v>
      </c>
      <c r="E261">
        <v>61789</v>
      </c>
      <c r="F261" t="s">
        <v>24</v>
      </c>
      <c r="P261" t="s">
        <v>10</v>
      </c>
      <c r="Q261" t="s">
        <v>11</v>
      </c>
      <c r="R261" t="s">
        <v>36</v>
      </c>
      <c r="S261">
        <v>11</v>
      </c>
      <c r="T261">
        <v>5</v>
      </c>
      <c r="U261" t="s">
        <v>29</v>
      </c>
      <c r="V261" t="s">
        <v>18</v>
      </c>
    </row>
    <row r="262" spans="1:22" x14ac:dyDescent="0.2">
      <c r="A262" t="s">
        <v>10</v>
      </c>
      <c r="B262" t="s">
        <v>11</v>
      </c>
      <c r="C262">
        <v>2014</v>
      </c>
      <c r="D262">
        <v>9</v>
      </c>
      <c r="E262">
        <v>85688</v>
      </c>
      <c r="F262" t="s">
        <v>12</v>
      </c>
    </row>
    <row r="263" spans="1:22" x14ac:dyDescent="0.2">
      <c r="A263" t="s">
        <v>10</v>
      </c>
      <c r="B263" t="s">
        <v>11</v>
      </c>
      <c r="C263">
        <v>2014</v>
      </c>
      <c r="D263">
        <v>10</v>
      </c>
      <c r="E263">
        <v>61363</v>
      </c>
      <c r="F263" t="s">
        <v>24</v>
      </c>
    </row>
    <row r="264" spans="1:22" x14ac:dyDescent="0.2">
      <c r="A264" t="s">
        <v>10</v>
      </c>
      <c r="B264" t="s">
        <v>11</v>
      </c>
      <c r="C264">
        <v>2014</v>
      </c>
      <c r="D264">
        <v>11</v>
      </c>
      <c r="E264">
        <v>62487</v>
      </c>
      <c r="F264" t="s">
        <v>24</v>
      </c>
    </row>
    <row r="265" spans="1:22" x14ac:dyDescent="0.2">
      <c r="A265" t="s">
        <v>10</v>
      </c>
      <c r="B265" t="s">
        <v>11</v>
      </c>
      <c r="C265">
        <v>2014</v>
      </c>
      <c r="D265">
        <v>12</v>
      </c>
      <c r="E265">
        <v>68327</v>
      </c>
      <c r="F265" t="s">
        <v>12</v>
      </c>
    </row>
    <row r="266" spans="1:22" x14ac:dyDescent="0.2">
      <c r="A266" t="s">
        <v>10</v>
      </c>
      <c r="B266" t="s">
        <v>11</v>
      </c>
      <c r="C266">
        <v>2014</v>
      </c>
      <c r="D266">
        <v>13</v>
      </c>
      <c r="E266">
        <v>69557</v>
      </c>
      <c r="F266" t="s">
        <v>12</v>
      </c>
    </row>
    <row r="267" spans="1:22" x14ac:dyDescent="0.2">
      <c r="A267" t="s">
        <v>10</v>
      </c>
      <c r="B267" t="s">
        <v>11</v>
      </c>
      <c r="C267">
        <v>2014</v>
      </c>
      <c r="D267">
        <v>14</v>
      </c>
      <c r="E267">
        <v>62387</v>
      </c>
      <c r="F267" t="s">
        <v>24</v>
      </c>
    </row>
    <row r="268" spans="1:22" x14ac:dyDescent="0.2">
      <c r="A268" t="s">
        <v>10</v>
      </c>
      <c r="B268" t="s">
        <v>11</v>
      </c>
      <c r="C268">
        <v>2014</v>
      </c>
      <c r="D268">
        <v>15</v>
      </c>
      <c r="E268">
        <v>55880</v>
      </c>
      <c r="F268" t="s">
        <v>12</v>
      </c>
    </row>
    <row r="269" spans="1:22" x14ac:dyDescent="0.2">
      <c r="A269" t="s">
        <v>10</v>
      </c>
      <c r="B269" t="s">
        <v>11</v>
      </c>
      <c r="C269">
        <v>2014</v>
      </c>
      <c r="D269">
        <v>16</v>
      </c>
      <c r="E269">
        <v>63806</v>
      </c>
      <c r="F269" t="s">
        <v>24</v>
      </c>
    </row>
    <row r="270" spans="1:22" x14ac:dyDescent="0.2">
      <c r="A270" t="s">
        <v>10</v>
      </c>
      <c r="B270" t="s">
        <v>11</v>
      </c>
      <c r="C270">
        <v>2014</v>
      </c>
      <c r="D270">
        <v>17</v>
      </c>
      <c r="E270">
        <v>70699</v>
      </c>
      <c r="F270" t="s">
        <v>12</v>
      </c>
      <c r="G270">
        <f>AVERAGE(E254,E256,E259,E261,E263:E264,E267,E269)</f>
        <v>61979.375</v>
      </c>
    </row>
    <row r="271" spans="1:22" x14ac:dyDescent="0.2">
      <c r="A271" t="s">
        <v>0</v>
      </c>
      <c r="B271" t="s">
        <v>1</v>
      </c>
      <c r="C271" t="s">
        <v>2</v>
      </c>
      <c r="D271" t="s">
        <v>3</v>
      </c>
      <c r="E271" t="s">
        <v>4</v>
      </c>
      <c r="G271">
        <f>AVERAGEIF(F254:F270,"home",E254:E270)</f>
        <v>61292</v>
      </c>
      <c r="P271" t="s">
        <v>0</v>
      </c>
      <c r="Q271" t="s">
        <v>1</v>
      </c>
      <c r="R271" t="s">
        <v>2</v>
      </c>
      <c r="S271" t="s">
        <v>6</v>
      </c>
      <c r="T271" t="s">
        <v>7</v>
      </c>
      <c r="U271" t="s">
        <v>8</v>
      </c>
      <c r="V271" t="s">
        <v>9</v>
      </c>
    </row>
    <row r="272" spans="1:22" x14ac:dyDescent="0.2">
      <c r="A272" t="s">
        <v>10</v>
      </c>
      <c r="B272" t="s">
        <v>11</v>
      </c>
      <c r="C272">
        <v>2015</v>
      </c>
      <c r="D272">
        <v>1</v>
      </c>
      <c r="E272">
        <v>62903</v>
      </c>
      <c r="F272" t="s">
        <v>24</v>
      </c>
    </row>
    <row r="273" spans="1:22" x14ac:dyDescent="0.2">
      <c r="A273" t="s">
        <v>10</v>
      </c>
      <c r="B273" t="s">
        <v>11</v>
      </c>
      <c r="C273">
        <v>2015</v>
      </c>
      <c r="D273">
        <v>2</v>
      </c>
      <c r="E273">
        <v>62351</v>
      </c>
      <c r="F273" t="s">
        <v>12</v>
      </c>
    </row>
    <row r="274" spans="1:22" x14ac:dyDescent="0.2">
      <c r="A274" t="s">
        <v>10</v>
      </c>
      <c r="B274" t="s">
        <v>11</v>
      </c>
      <c r="C274">
        <v>2015</v>
      </c>
      <c r="D274">
        <v>3</v>
      </c>
      <c r="E274">
        <v>63663</v>
      </c>
      <c r="F274" t="s">
        <v>24</v>
      </c>
    </row>
    <row r="275" spans="1:22" x14ac:dyDescent="0.2">
      <c r="A275" t="s">
        <v>10</v>
      </c>
      <c r="B275" t="s">
        <v>11</v>
      </c>
      <c r="C275">
        <v>2015</v>
      </c>
      <c r="D275">
        <v>4</v>
      </c>
      <c r="E275">
        <v>63146</v>
      </c>
      <c r="F275" t="s">
        <v>24</v>
      </c>
    </row>
    <row r="276" spans="1:22" x14ac:dyDescent="0.2">
      <c r="A276" t="s">
        <v>10</v>
      </c>
      <c r="B276" t="s">
        <v>11</v>
      </c>
      <c r="C276">
        <v>2015</v>
      </c>
      <c r="D276">
        <v>5</v>
      </c>
      <c r="E276">
        <v>60816</v>
      </c>
      <c r="F276" t="s">
        <v>12</v>
      </c>
    </row>
    <row r="277" spans="1:22" x14ac:dyDescent="0.2">
      <c r="A277" t="s">
        <v>10</v>
      </c>
      <c r="B277" t="s">
        <v>11</v>
      </c>
      <c r="C277">
        <v>2015</v>
      </c>
      <c r="D277">
        <v>6</v>
      </c>
      <c r="E277">
        <v>63846</v>
      </c>
      <c r="F277" t="s">
        <v>12</v>
      </c>
    </row>
    <row r="278" spans="1:22" x14ac:dyDescent="0.2">
      <c r="A278" t="s">
        <v>10</v>
      </c>
      <c r="B278" t="s">
        <v>11</v>
      </c>
      <c r="C278">
        <v>2015</v>
      </c>
      <c r="D278">
        <v>7</v>
      </c>
      <c r="E278">
        <v>64722</v>
      </c>
      <c r="F278" t="s">
        <v>24</v>
      </c>
    </row>
    <row r="279" spans="1:22" x14ac:dyDescent="0.2">
      <c r="A279" t="s">
        <v>10</v>
      </c>
      <c r="B279" t="s">
        <v>11</v>
      </c>
      <c r="C279">
        <v>2015</v>
      </c>
      <c r="D279">
        <v>8</v>
      </c>
      <c r="E279">
        <v>67431</v>
      </c>
      <c r="F279" t="s">
        <v>12</v>
      </c>
      <c r="P279" t="s">
        <v>10</v>
      </c>
      <c r="Q279" t="s">
        <v>11</v>
      </c>
      <c r="R279" t="s">
        <v>37</v>
      </c>
      <c r="S279">
        <v>13</v>
      </c>
      <c r="T279">
        <v>3</v>
      </c>
      <c r="U279" t="s">
        <v>29</v>
      </c>
      <c r="V279" t="s">
        <v>18</v>
      </c>
    </row>
    <row r="280" spans="1:22" x14ac:dyDescent="0.2">
      <c r="A280" t="s">
        <v>10</v>
      </c>
      <c r="B280" t="s">
        <v>11</v>
      </c>
      <c r="C280">
        <v>2015</v>
      </c>
      <c r="D280">
        <v>9</v>
      </c>
      <c r="E280">
        <v>0</v>
      </c>
      <c r="F280" t="s">
        <v>14</v>
      </c>
    </row>
    <row r="281" spans="1:22" x14ac:dyDescent="0.2">
      <c r="A281" t="s">
        <v>10</v>
      </c>
      <c r="B281" t="s">
        <v>11</v>
      </c>
      <c r="C281">
        <v>2015</v>
      </c>
      <c r="D281">
        <v>10</v>
      </c>
      <c r="E281">
        <v>69005</v>
      </c>
      <c r="F281" t="s">
        <v>12</v>
      </c>
    </row>
    <row r="282" spans="1:22" x14ac:dyDescent="0.2">
      <c r="A282" t="s">
        <v>10</v>
      </c>
      <c r="B282" t="s">
        <v>11</v>
      </c>
      <c r="C282">
        <v>2015</v>
      </c>
      <c r="D282">
        <v>11</v>
      </c>
      <c r="E282">
        <v>64745</v>
      </c>
      <c r="F282" t="s">
        <v>24</v>
      </c>
    </row>
    <row r="283" spans="1:22" x14ac:dyDescent="0.2">
      <c r="A283" t="s">
        <v>10</v>
      </c>
      <c r="B283" t="s">
        <v>11</v>
      </c>
      <c r="C283">
        <v>2015</v>
      </c>
      <c r="D283">
        <v>12</v>
      </c>
      <c r="E283">
        <v>70799</v>
      </c>
      <c r="F283" t="s">
        <v>12</v>
      </c>
    </row>
    <row r="284" spans="1:22" x14ac:dyDescent="0.2">
      <c r="A284" t="s">
        <v>10</v>
      </c>
      <c r="B284" t="s">
        <v>11</v>
      </c>
      <c r="C284">
        <v>2015</v>
      </c>
      <c r="D284">
        <v>13</v>
      </c>
      <c r="E284">
        <v>51115</v>
      </c>
      <c r="F284" t="s">
        <v>12</v>
      </c>
    </row>
    <row r="285" spans="1:22" x14ac:dyDescent="0.2">
      <c r="A285" t="s">
        <v>10</v>
      </c>
      <c r="B285" t="s">
        <v>11</v>
      </c>
      <c r="C285">
        <v>2015</v>
      </c>
      <c r="D285">
        <v>14</v>
      </c>
      <c r="E285">
        <v>64784</v>
      </c>
      <c r="F285" t="s">
        <v>24</v>
      </c>
    </row>
    <row r="286" spans="1:22" x14ac:dyDescent="0.2">
      <c r="A286" t="s">
        <v>10</v>
      </c>
      <c r="B286" t="s">
        <v>11</v>
      </c>
      <c r="C286">
        <v>2015</v>
      </c>
      <c r="D286">
        <v>15</v>
      </c>
      <c r="E286">
        <v>69596</v>
      </c>
      <c r="F286" t="s">
        <v>12</v>
      </c>
    </row>
    <row r="287" spans="1:22" x14ac:dyDescent="0.2">
      <c r="A287" t="s">
        <v>10</v>
      </c>
      <c r="B287" t="s">
        <v>11</v>
      </c>
      <c r="C287">
        <v>2015</v>
      </c>
      <c r="D287">
        <v>16</v>
      </c>
      <c r="E287">
        <v>64878</v>
      </c>
      <c r="F287" t="s">
        <v>24</v>
      </c>
    </row>
    <row r="288" spans="1:22" x14ac:dyDescent="0.2">
      <c r="A288" t="s">
        <v>10</v>
      </c>
      <c r="B288" t="s">
        <v>11</v>
      </c>
      <c r="C288">
        <v>2015</v>
      </c>
      <c r="D288">
        <v>17</v>
      </c>
      <c r="E288">
        <v>64646</v>
      </c>
      <c r="F288" t="s">
        <v>24</v>
      </c>
      <c r="G288">
        <f>AVERAGE(E272,E274:E275,E278,E282,E285,E287:E288)</f>
        <v>64185.875</v>
      </c>
    </row>
    <row r="289" spans="1:22" x14ac:dyDescent="0.2">
      <c r="A289" t="s">
        <v>0</v>
      </c>
      <c r="B289" t="s">
        <v>1</v>
      </c>
      <c r="C289" t="s">
        <v>2</v>
      </c>
      <c r="D289" t="s">
        <v>3</v>
      </c>
      <c r="E289" t="s">
        <v>4</v>
      </c>
      <c r="G289">
        <f>AVERAGEIF(F272:F288,"*home*",E272:E288)</f>
        <v>64185.875</v>
      </c>
      <c r="P289" t="s">
        <v>0</v>
      </c>
      <c r="Q289" t="s">
        <v>1</v>
      </c>
      <c r="R289" t="s">
        <v>2</v>
      </c>
      <c r="S289" t="s">
        <v>6</v>
      </c>
      <c r="T289" t="s">
        <v>7</v>
      </c>
      <c r="U289" t="s">
        <v>8</v>
      </c>
      <c r="V289" t="s">
        <v>9</v>
      </c>
    </row>
    <row r="290" spans="1:22" x14ac:dyDescent="0.2">
      <c r="A290" t="s">
        <v>10</v>
      </c>
      <c r="B290" t="s">
        <v>11</v>
      </c>
      <c r="C290">
        <v>2016</v>
      </c>
      <c r="D290">
        <v>1</v>
      </c>
      <c r="E290">
        <v>64864</v>
      </c>
      <c r="F290" t="s">
        <v>24</v>
      </c>
    </row>
    <row r="291" spans="1:22" x14ac:dyDescent="0.2">
      <c r="A291" t="s">
        <v>10</v>
      </c>
      <c r="B291" t="s">
        <v>11</v>
      </c>
      <c r="C291">
        <v>2016</v>
      </c>
      <c r="D291">
        <v>2</v>
      </c>
      <c r="E291">
        <v>64230</v>
      </c>
      <c r="F291" t="s">
        <v>24</v>
      </c>
    </row>
    <row r="292" spans="1:22" x14ac:dyDescent="0.2">
      <c r="A292" t="s">
        <v>10</v>
      </c>
      <c r="B292" t="s">
        <v>11</v>
      </c>
      <c r="C292">
        <v>2016</v>
      </c>
      <c r="D292">
        <v>3</v>
      </c>
      <c r="E292">
        <v>68647</v>
      </c>
      <c r="F292" t="s">
        <v>12</v>
      </c>
    </row>
    <row r="293" spans="1:22" x14ac:dyDescent="0.2">
      <c r="A293" t="s">
        <v>10</v>
      </c>
      <c r="B293" t="s">
        <v>11</v>
      </c>
      <c r="C293">
        <v>2016</v>
      </c>
      <c r="D293">
        <v>4</v>
      </c>
      <c r="E293">
        <v>64622</v>
      </c>
      <c r="F293" t="s">
        <v>24</v>
      </c>
    </row>
    <row r="294" spans="1:22" x14ac:dyDescent="0.2">
      <c r="A294" t="s">
        <v>10</v>
      </c>
      <c r="B294" t="s">
        <v>11</v>
      </c>
      <c r="C294">
        <v>2016</v>
      </c>
      <c r="D294">
        <v>5</v>
      </c>
      <c r="E294">
        <v>70178</v>
      </c>
      <c r="F294" t="s">
        <v>12</v>
      </c>
    </row>
    <row r="295" spans="1:22" x14ac:dyDescent="0.2">
      <c r="A295" t="s">
        <v>10</v>
      </c>
      <c r="B295" t="s">
        <v>11</v>
      </c>
      <c r="C295">
        <v>2016</v>
      </c>
      <c r="D295">
        <v>6</v>
      </c>
      <c r="E295">
        <v>64709</v>
      </c>
      <c r="F295" t="s">
        <v>24</v>
      </c>
    </row>
    <row r="296" spans="1:22" x14ac:dyDescent="0.2">
      <c r="A296" t="s">
        <v>10</v>
      </c>
      <c r="B296" t="s">
        <v>11</v>
      </c>
      <c r="C296">
        <v>2016</v>
      </c>
      <c r="D296">
        <v>7</v>
      </c>
      <c r="E296">
        <v>65089</v>
      </c>
      <c r="F296" t="s">
        <v>24</v>
      </c>
    </row>
    <row r="297" spans="1:22" x14ac:dyDescent="0.2">
      <c r="A297" t="s">
        <v>10</v>
      </c>
      <c r="B297" t="s">
        <v>11</v>
      </c>
      <c r="C297">
        <v>2016</v>
      </c>
      <c r="D297">
        <v>8</v>
      </c>
      <c r="E297">
        <v>74088</v>
      </c>
      <c r="F297" t="s">
        <v>12</v>
      </c>
      <c r="P297" t="s">
        <v>10</v>
      </c>
      <c r="Q297" t="s">
        <v>11</v>
      </c>
      <c r="R297" t="s">
        <v>38</v>
      </c>
      <c r="S297">
        <v>7</v>
      </c>
      <c r="T297">
        <v>8</v>
      </c>
      <c r="U297" t="s">
        <v>17</v>
      </c>
      <c r="V297" t="s">
        <v>18</v>
      </c>
    </row>
    <row r="298" spans="1:22" x14ac:dyDescent="0.2">
      <c r="A298" t="s">
        <v>10</v>
      </c>
      <c r="B298" t="s">
        <v>11</v>
      </c>
      <c r="C298">
        <v>2016</v>
      </c>
      <c r="D298">
        <v>9</v>
      </c>
      <c r="E298">
        <v>0</v>
      </c>
      <c r="F298" t="s">
        <v>14</v>
      </c>
    </row>
    <row r="299" spans="1:22" x14ac:dyDescent="0.2">
      <c r="A299" t="s">
        <v>10</v>
      </c>
      <c r="B299" t="s">
        <v>11</v>
      </c>
      <c r="C299">
        <v>2016</v>
      </c>
      <c r="D299">
        <v>10</v>
      </c>
      <c r="E299">
        <v>65127</v>
      </c>
      <c r="F299" t="s">
        <v>24</v>
      </c>
    </row>
    <row r="300" spans="1:22" x14ac:dyDescent="0.2">
      <c r="A300" t="s">
        <v>10</v>
      </c>
      <c r="B300" t="s">
        <v>11</v>
      </c>
      <c r="C300">
        <v>2016</v>
      </c>
      <c r="D300">
        <v>11</v>
      </c>
      <c r="E300">
        <v>66808</v>
      </c>
      <c r="F300" t="s">
        <v>12</v>
      </c>
    </row>
    <row r="301" spans="1:22" x14ac:dyDescent="0.2">
      <c r="A301" t="s">
        <v>10</v>
      </c>
      <c r="B301" t="s">
        <v>11</v>
      </c>
      <c r="C301">
        <v>2016</v>
      </c>
      <c r="D301">
        <v>12</v>
      </c>
      <c r="E301">
        <v>69233</v>
      </c>
      <c r="F301" t="s">
        <v>12</v>
      </c>
    </row>
    <row r="302" spans="1:22" x14ac:dyDescent="0.2">
      <c r="A302" t="s">
        <v>10</v>
      </c>
      <c r="B302" t="s">
        <v>11</v>
      </c>
      <c r="C302">
        <v>2016</v>
      </c>
      <c r="D302">
        <v>13</v>
      </c>
      <c r="E302">
        <v>64939</v>
      </c>
      <c r="F302" t="s">
        <v>24</v>
      </c>
    </row>
    <row r="303" spans="1:22" x14ac:dyDescent="0.2">
      <c r="A303" t="s">
        <v>10</v>
      </c>
      <c r="B303" t="s">
        <v>11</v>
      </c>
      <c r="C303">
        <v>2016</v>
      </c>
      <c r="D303">
        <v>14</v>
      </c>
      <c r="E303">
        <v>65750</v>
      </c>
      <c r="F303" t="s">
        <v>12</v>
      </c>
    </row>
    <row r="304" spans="1:22" x14ac:dyDescent="0.2">
      <c r="A304" t="s">
        <v>10</v>
      </c>
      <c r="B304" t="s">
        <v>11</v>
      </c>
      <c r="C304">
        <v>2016</v>
      </c>
      <c r="D304">
        <v>15</v>
      </c>
      <c r="E304">
        <v>65072</v>
      </c>
      <c r="F304" t="s">
        <v>24</v>
      </c>
    </row>
    <row r="305" spans="1:22" x14ac:dyDescent="0.2">
      <c r="A305" t="s">
        <v>10</v>
      </c>
      <c r="B305" t="s">
        <v>11</v>
      </c>
      <c r="C305">
        <v>2016</v>
      </c>
      <c r="D305">
        <v>16</v>
      </c>
      <c r="E305">
        <v>69050</v>
      </c>
      <c r="F305" t="s">
        <v>12</v>
      </c>
    </row>
    <row r="306" spans="1:22" x14ac:dyDescent="0.2">
      <c r="A306" t="s">
        <v>10</v>
      </c>
      <c r="B306" t="s">
        <v>11</v>
      </c>
      <c r="C306">
        <v>2016</v>
      </c>
      <c r="D306">
        <v>17</v>
      </c>
      <c r="E306">
        <v>80729</v>
      </c>
      <c r="F306" t="s">
        <v>12</v>
      </c>
      <c r="G306">
        <f>AVERAGE(E290:E291,E293,E295:E296,E299,E302,E304)</f>
        <v>64831.5</v>
      </c>
      <c r="H306" s="2"/>
    </row>
    <row r="307" spans="1:22" x14ac:dyDescent="0.2">
      <c r="A307" t="s">
        <v>0</v>
      </c>
      <c r="B307" t="s">
        <v>1</v>
      </c>
      <c r="C307" t="s">
        <v>2</v>
      </c>
      <c r="D307" t="s">
        <v>3</v>
      </c>
      <c r="E307" t="s">
        <v>4</v>
      </c>
      <c r="G307" s="2">
        <f>AVERAGEIF(F290:F306,"*home*",E290:E306)</f>
        <v>64831.5</v>
      </c>
      <c r="P307" t="s">
        <v>0</v>
      </c>
      <c r="Q307" t="s">
        <v>1</v>
      </c>
      <c r="R307" t="s">
        <v>2</v>
      </c>
      <c r="S307" t="s">
        <v>6</v>
      </c>
      <c r="T307" t="s">
        <v>7</v>
      </c>
      <c r="U307" t="s">
        <v>8</v>
      </c>
      <c r="V307" t="s">
        <v>9</v>
      </c>
    </row>
    <row r="308" spans="1:22" x14ac:dyDescent="0.2">
      <c r="A308" t="s">
        <v>10</v>
      </c>
      <c r="B308" t="s">
        <v>11</v>
      </c>
      <c r="C308">
        <v>2017</v>
      </c>
      <c r="D308">
        <v>1</v>
      </c>
      <c r="E308">
        <v>60957</v>
      </c>
      <c r="F308" t="s">
        <v>12</v>
      </c>
    </row>
    <row r="309" spans="1:22" x14ac:dyDescent="0.2">
      <c r="A309" t="s">
        <v>10</v>
      </c>
      <c r="B309" t="s">
        <v>11</v>
      </c>
      <c r="C309">
        <v>2017</v>
      </c>
      <c r="D309">
        <v>2</v>
      </c>
      <c r="E309">
        <v>63137</v>
      </c>
      <c r="F309" t="s">
        <v>12</v>
      </c>
    </row>
    <row r="310" spans="1:22" x14ac:dyDescent="0.2">
      <c r="A310" t="s">
        <v>10</v>
      </c>
      <c r="B310" t="s">
        <v>11</v>
      </c>
      <c r="C310">
        <v>2017</v>
      </c>
      <c r="D310">
        <v>3</v>
      </c>
      <c r="E310">
        <v>65102</v>
      </c>
      <c r="F310" t="s">
        <v>24</v>
      </c>
    </row>
    <row r="311" spans="1:22" x14ac:dyDescent="0.2">
      <c r="A311" t="s">
        <v>10</v>
      </c>
      <c r="B311" t="s">
        <v>11</v>
      </c>
      <c r="C311">
        <v>2017</v>
      </c>
      <c r="D311">
        <v>4</v>
      </c>
      <c r="E311">
        <v>64121</v>
      </c>
      <c r="F311" t="s">
        <v>24</v>
      </c>
    </row>
    <row r="312" spans="1:22" x14ac:dyDescent="0.2">
      <c r="A312" t="s">
        <v>10</v>
      </c>
      <c r="B312" t="s">
        <v>11</v>
      </c>
      <c r="C312">
        <v>2017</v>
      </c>
      <c r="D312">
        <v>5</v>
      </c>
      <c r="E312">
        <v>69596</v>
      </c>
      <c r="F312" t="s">
        <v>12</v>
      </c>
    </row>
    <row r="313" spans="1:22" x14ac:dyDescent="0.2">
      <c r="A313" t="s">
        <v>10</v>
      </c>
      <c r="B313" t="s">
        <v>11</v>
      </c>
      <c r="C313">
        <v>2017</v>
      </c>
      <c r="D313">
        <v>6</v>
      </c>
      <c r="E313">
        <v>63999</v>
      </c>
      <c r="F313" t="s">
        <v>24</v>
      </c>
    </row>
    <row r="314" spans="1:22" x14ac:dyDescent="0.2">
      <c r="A314" t="s">
        <v>10</v>
      </c>
      <c r="B314" t="s">
        <v>11</v>
      </c>
      <c r="C314">
        <v>2017</v>
      </c>
      <c r="D314">
        <v>7</v>
      </c>
      <c r="E314">
        <v>73736</v>
      </c>
      <c r="F314" t="s">
        <v>12</v>
      </c>
    </row>
    <row r="315" spans="1:22" x14ac:dyDescent="0.2">
      <c r="A315" t="s">
        <v>10</v>
      </c>
      <c r="B315" t="s">
        <v>11</v>
      </c>
      <c r="C315">
        <v>2017</v>
      </c>
      <c r="D315">
        <v>8</v>
      </c>
      <c r="E315">
        <v>0</v>
      </c>
      <c r="F315" t="s">
        <v>14</v>
      </c>
      <c r="P315" t="s">
        <v>10</v>
      </c>
      <c r="Q315" t="s">
        <v>11</v>
      </c>
      <c r="R315" t="s">
        <v>39</v>
      </c>
      <c r="S315">
        <v>8</v>
      </c>
      <c r="T315">
        <v>8</v>
      </c>
      <c r="U315" t="s">
        <v>17</v>
      </c>
      <c r="V315" t="s">
        <v>18</v>
      </c>
    </row>
    <row r="316" spans="1:22" x14ac:dyDescent="0.2">
      <c r="A316" t="s">
        <v>10</v>
      </c>
      <c r="B316" t="s">
        <v>11</v>
      </c>
      <c r="C316">
        <v>2017</v>
      </c>
      <c r="D316">
        <v>9</v>
      </c>
      <c r="E316">
        <v>70133</v>
      </c>
      <c r="F316" t="s">
        <v>12</v>
      </c>
    </row>
    <row r="317" spans="1:22" x14ac:dyDescent="0.2">
      <c r="A317" t="s">
        <v>10</v>
      </c>
      <c r="B317" t="s">
        <v>11</v>
      </c>
      <c r="C317">
        <v>2017</v>
      </c>
      <c r="D317">
        <v>10</v>
      </c>
      <c r="E317">
        <v>64639</v>
      </c>
      <c r="F317" t="s">
        <v>24</v>
      </c>
    </row>
    <row r="318" spans="1:22" x14ac:dyDescent="0.2">
      <c r="A318" t="s">
        <v>10</v>
      </c>
      <c r="B318" t="s">
        <v>11</v>
      </c>
      <c r="C318">
        <v>2017</v>
      </c>
      <c r="D318">
        <v>11</v>
      </c>
      <c r="E318">
        <v>71680</v>
      </c>
      <c r="F318" t="s">
        <v>12</v>
      </c>
    </row>
    <row r="319" spans="1:22" x14ac:dyDescent="0.2">
      <c r="A319" t="s">
        <v>10</v>
      </c>
      <c r="B319" t="s">
        <v>11</v>
      </c>
      <c r="C319">
        <v>2017</v>
      </c>
      <c r="D319">
        <v>12</v>
      </c>
      <c r="E319">
        <v>63891</v>
      </c>
      <c r="F319" t="s">
        <v>24</v>
      </c>
    </row>
    <row r="320" spans="1:22" x14ac:dyDescent="0.2">
      <c r="A320" t="s">
        <v>10</v>
      </c>
      <c r="B320" t="s">
        <v>11</v>
      </c>
      <c r="C320">
        <v>2017</v>
      </c>
      <c r="D320">
        <v>13</v>
      </c>
      <c r="E320">
        <v>63986</v>
      </c>
      <c r="F320" t="s">
        <v>24</v>
      </c>
    </row>
    <row r="321" spans="1:22" x14ac:dyDescent="0.2">
      <c r="A321" t="s">
        <v>10</v>
      </c>
      <c r="B321" t="s">
        <v>11</v>
      </c>
      <c r="C321">
        <v>2017</v>
      </c>
      <c r="D321">
        <v>14</v>
      </c>
      <c r="E321">
        <v>64153</v>
      </c>
      <c r="F321" t="s">
        <v>24</v>
      </c>
    </row>
    <row r="322" spans="1:22" x14ac:dyDescent="0.2">
      <c r="A322" t="s">
        <v>10</v>
      </c>
      <c r="B322" t="s">
        <v>11</v>
      </c>
      <c r="C322">
        <v>2017</v>
      </c>
      <c r="D322">
        <v>15</v>
      </c>
      <c r="E322">
        <v>71026</v>
      </c>
      <c r="F322" t="s">
        <v>12</v>
      </c>
    </row>
    <row r="323" spans="1:22" x14ac:dyDescent="0.2">
      <c r="A323" t="s">
        <v>10</v>
      </c>
      <c r="B323" t="s">
        <v>11</v>
      </c>
      <c r="C323">
        <v>2017</v>
      </c>
      <c r="D323">
        <v>16</v>
      </c>
      <c r="E323">
        <v>63850</v>
      </c>
      <c r="F323" t="s">
        <v>24</v>
      </c>
    </row>
    <row r="324" spans="1:22" x14ac:dyDescent="0.2">
      <c r="A324" t="s">
        <v>10</v>
      </c>
      <c r="B324" t="s">
        <v>11</v>
      </c>
      <c r="C324">
        <v>2017</v>
      </c>
      <c r="D324">
        <v>17</v>
      </c>
      <c r="E324">
        <v>69078</v>
      </c>
      <c r="F324" t="s">
        <v>12</v>
      </c>
      <c r="G324">
        <f>AVERAGEIF(F308:F324,"*home*",E308:E324)</f>
        <v>64217.625</v>
      </c>
    </row>
    <row r="325" spans="1:22" x14ac:dyDescent="0.2">
      <c r="A325" t="s">
        <v>0</v>
      </c>
      <c r="B325" t="s">
        <v>1</v>
      </c>
      <c r="C325" t="s">
        <v>2</v>
      </c>
      <c r="D325" t="s">
        <v>3</v>
      </c>
      <c r="E325" t="s">
        <v>4</v>
      </c>
      <c r="P325" t="s">
        <v>0</v>
      </c>
      <c r="Q325" t="s">
        <v>1</v>
      </c>
      <c r="R325" t="s">
        <v>2</v>
      </c>
      <c r="S325" t="s">
        <v>6</v>
      </c>
      <c r="T325" t="s">
        <v>7</v>
      </c>
      <c r="U325" t="s">
        <v>8</v>
      </c>
      <c r="V325" t="s">
        <v>9</v>
      </c>
    </row>
    <row r="326" spans="1:22" x14ac:dyDescent="0.2">
      <c r="A326" t="s">
        <v>10</v>
      </c>
      <c r="B326" t="s">
        <v>11</v>
      </c>
      <c r="C326">
        <v>2018</v>
      </c>
      <c r="D326">
        <v>1</v>
      </c>
      <c r="E326">
        <v>61613</v>
      </c>
      <c r="F326" t="s">
        <v>13</v>
      </c>
    </row>
    <row r="327" spans="1:22" x14ac:dyDescent="0.2">
      <c r="A327" t="s">
        <v>10</v>
      </c>
      <c r="B327" t="s">
        <v>11</v>
      </c>
      <c r="C327">
        <v>2018</v>
      </c>
      <c r="D327">
        <v>2</v>
      </c>
      <c r="E327">
        <v>66515</v>
      </c>
      <c r="F327" t="s">
        <v>12</v>
      </c>
    </row>
    <row r="328" spans="1:22" x14ac:dyDescent="0.2">
      <c r="A328" t="s">
        <v>10</v>
      </c>
      <c r="B328" t="s">
        <v>11</v>
      </c>
      <c r="C328">
        <v>2018</v>
      </c>
      <c r="D328">
        <v>3</v>
      </c>
      <c r="E328">
        <v>62163</v>
      </c>
      <c r="F328" t="s">
        <v>24</v>
      </c>
    </row>
    <row r="329" spans="1:22" x14ac:dyDescent="0.2">
      <c r="A329" t="s">
        <v>10</v>
      </c>
      <c r="B329" t="s">
        <v>11</v>
      </c>
      <c r="C329">
        <v>2018</v>
      </c>
      <c r="D329">
        <v>4</v>
      </c>
      <c r="E329">
        <v>61845</v>
      </c>
      <c r="F329" t="s">
        <v>24</v>
      </c>
    </row>
    <row r="330" spans="1:22" x14ac:dyDescent="0.2">
      <c r="A330" t="s">
        <v>10</v>
      </c>
      <c r="B330" t="s">
        <v>11</v>
      </c>
      <c r="C330">
        <v>2018</v>
      </c>
      <c r="D330">
        <v>5</v>
      </c>
      <c r="E330">
        <v>68337</v>
      </c>
      <c r="F330" t="s">
        <v>12</v>
      </c>
    </row>
    <row r="331" spans="1:22" x14ac:dyDescent="0.2">
      <c r="A331" t="s">
        <v>10</v>
      </c>
      <c r="B331" t="s">
        <v>11</v>
      </c>
      <c r="C331">
        <v>2018</v>
      </c>
      <c r="D331">
        <v>6</v>
      </c>
      <c r="E331">
        <v>66801</v>
      </c>
      <c r="F331" t="s">
        <v>12</v>
      </c>
    </row>
    <row r="332" spans="1:22" x14ac:dyDescent="0.2">
      <c r="A332" t="s">
        <v>10</v>
      </c>
      <c r="B332" t="s">
        <v>11</v>
      </c>
      <c r="C332">
        <v>2018</v>
      </c>
      <c r="D332">
        <v>7</v>
      </c>
      <c r="E332">
        <v>62359</v>
      </c>
      <c r="F332" t="s">
        <v>24</v>
      </c>
    </row>
    <row r="333" spans="1:22" x14ac:dyDescent="0.2">
      <c r="A333" t="s">
        <v>10</v>
      </c>
      <c r="B333" t="s">
        <v>11</v>
      </c>
      <c r="C333">
        <v>2018</v>
      </c>
      <c r="D333">
        <v>8</v>
      </c>
      <c r="E333">
        <v>61923</v>
      </c>
      <c r="F333" t="s">
        <v>24</v>
      </c>
      <c r="P333" t="s">
        <v>10</v>
      </c>
      <c r="Q333" t="s">
        <v>11</v>
      </c>
      <c r="R333" t="s">
        <v>40</v>
      </c>
      <c r="S333">
        <v>3</v>
      </c>
      <c r="T333">
        <v>13</v>
      </c>
      <c r="U333" t="s">
        <v>17</v>
      </c>
      <c r="V333" t="s">
        <v>18</v>
      </c>
    </row>
    <row r="334" spans="1:22" x14ac:dyDescent="0.2">
      <c r="A334" t="s">
        <v>10</v>
      </c>
      <c r="B334" t="s">
        <v>11</v>
      </c>
      <c r="C334">
        <v>2018</v>
      </c>
      <c r="D334">
        <v>9</v>
      </c>
      <c r="E334">
        <v>0</v>
      </c>
      <c r="F334" t="s">
        <v>14</v>
      </c>
    </row>
    <row r="335" spans="1:22" x14ac:dyDescent="0.2">
      <c r="A335" t="s">
        <v>10</v>
      </c>
      <c r="B335" t="s">
        <v>11</v>
      </c>
      <c r="C335">
        <v>2018</v>
      </c>
      <c r="D335">
        <v>10</v>
      </c>
      <c r="E335">
        <v>76712</v>
      </c>
      <c r="F335" t="s">
        <v>12</v>
      </c>
    </row>
    <row r="336" spans="1:22" x14ac:dyDescent="0.2">
      <c r="A336" t="s">
        <v>10</v>
      </c>
      <c r="B336" t="s">
        <v>11</v>
      </c>
      <c r="C336">
        <v>2018</v>
      </c>
      <c r="D336">
        <v>11</v>
      </c>
      <c r="E336">
        <v>62435</v>
      </c>
      <c r="F336" t="s">
        <v>24</v>
      </c>
    </row>
    <row r="337" spans="1:22" x14ac:dyDescent="0.2">
      <c r="A337" t="s">
        <v>10</v>
      </c>
      <c r="B337" t="s">
        <v>11</v>
      </c>
      <c r="C337">
        <v>2018</v>
      </c>
      <c r="D337">
        <v>12</v>
      </c>
      <c r="E337">
        <v>25343</v>
      </c>
      <c r="F337" t="s">
        <v>12</v>
      </c>
    </row>
    <row r="338" spans="1:22" x14ac:dyDescent="0.2">
      <c r="A338" t="s">
        <v>10</v>
      </c>
      <c r="B338" t="s">
        <v>11</v>
      </c>
      <c r="C338">
        <v>2018</v>
      </c>
      <c r="D338">
        <v>13</v>
      </c>
      <c r="E338">
        <v>77234</v>
      </c>
      <c r="F338" t="s">
        <v>12</v>
      </c>
    </row>
    <row r="339" spans="1:22" x14ac:dyDescent="0.2">
      <c r="A339" t="s">
        <v>10</v>
      </c>
      <c r="B339" t="s">
        <v>11</v>
      </c>
      <c r="C339">
        <v>2018</v>
      </c>
      <c r="D339">
        <v>14</v>
      </c>
      <c r="E339">
        <v>62014</v>
      </c>
      <c r="F339" t="s">
        <v>24</v>
      </c>
    </row>
    <row r="340" spans="1:22" x14ac:dyDescent="0.2">
      <c r="A340" t="s">
        <v>10</v>
      </c>
      <c r="B340" t="s">
        <v>11</v>
      </c>
      <c r="C340">
        <v>2018</v>
      </c>
      <c r="D340">
        <v>15</v>
      </c>
      <c r="E340">
        <v>72084</v>
      </c>
      <c r="F340" t="s">
        <v>12</v>
      </c>
    </row>
    <row r="341" spans="1:22" x14ac:dyDescent="0.2">
      <c r="A341" t="s">
        <v>10</v>
      </c>
      <c r="B341" t="s">
        <v>11</v>
      </c>
      <c r="C341">
        <v>2018</v>
      </c>
      <c r="D341">
        <v>16</v>
      </c>
      <c r="E341">
        <v>61759</v>
      </c>
      <c r="F341" t="s">
        <v>13</v>
      </c>
    </row>
    <row r="342" spans="1:22" x14ac:dyDescent="0.2">
      <c r="A342" t="s">
        <v>10</v>
      </c>
      <c r="B342" t="s">
        <v>11</v>
      </c>
      <c r="C342">
        <v>2018</v>
      </c>
      <c r="D342">
        <v>17</v>
      </c>
      <c r="E342">
        <v>68990</v>
      </c>
      <c r="F342" t="s">
        <v>12</v>
      </c>
    </row>
    <row r="343" spans="1:22" x14ac:dyDescent="0.2">
      <c r="A343" t="s">
        <v>0</v>
      </c>
      <c r="B343" t="s">
        <v>1</v>
      </c>
      <c r="C343" t="s">
        <v>2</v>
      </c>
      <c r="D343" t="s">
        <v>3</v>
      </c>
      <c r="E343" t="s">
        <v>4</v>
      </c>
      <c r="G343">
        <f>AVERAGEIF(F326:F342,"home",E326:E342)</f>
        <v>61686</v>
      </c>
      <c r="P343" t="s">
        <v>0</v>
      </c>
      <c r="Q343" t="s">
        <v>1</v>
      </c>
      <c r="R343" t="s">
        <v>2</v>
      </c>
      <c r="S343" t="s">
        <v>6</v>
      </c>
      <c r="T343" t="s">
        <v>7</v>
      </c>
      <c r="U343" t="s">
        <v>8</v>
      </c>
      <c r="V343" t="s">
        <v>9</v>
      </c>
    </row>
    <row r="344" spans="1:22" x14ac:dyDescent="0.2">
      <c r="A344" t="s">
        <v>10</v>
      </c>
      <c r="B344" t="s">
        <v>11</v>
      </c>
      <c r="C344">
        <v>2019</v>
      </c>
      <c r="D344">
        <v>1</v>
      </c>
      <c r="E344">
        <v>60687</v>
      </c>
      <c r="F344" t="s">
        <v>24</v>
      </c>
    </row>
    <row r="345" spans="1:22" x14ac:dyDescent="0.2">
      <c r="A345" t="s">
        <v>10</v>
      </c>
      <c r="B345" t="s">
        <v>11</v>
      </c>
      <c r="C345">
        <v>2019</v>
      </c>
      <c r="D345">
        <v>2</v>
      </c>
      <c r="E345">
        <v>70126</v>
      </c>
      <c r="F345" t="s">
        <v>12</v>
      </c>
    </row>
    <row r="346" spans="1:22" x14ac:dyDescent="0.2">
      <c r="A346" t="s">
        <v>10</v>
      </c>
      <c r="B346" t="s">
        <v>11</v>
      </c>
      <c r="C346">
        <v>2019</v>
      </c>
      <c r="D346">
        <v>3</v>
      </c>
      <c r="E346">
        <v>60104</v>
      </c>
      <c r="F346" t="s">
        <v>24</v>
      </c>
    </row>
    <row r="347" spans="1:22" x14ac:dyDescent="0.2">
      <c r="A347" t="s">
        <v>10</v>
      </c>
      <c r="B347" t="s">
        <v>11</v>
      </c>
      <c r="C347">
        <v>2019</v>
      </c>
      <c r="D347">
        <v>4</v>
      </c>
      <c r="E347">
        <v>60500</v>
      </c>
      <c r="F347" t="s">
        <v>24</v>
      </c>
    </row>
    <row r="348" spans="1:22" x14ac:dyDescent="0.2">
      <c r="A348" t="s">
        <v>10</v>
      </c>
      <c r="B348" t="s">
        <v>11</v>
      </c>
      <c r="C348">
        <v>2019</v>
      </c>
      <c r="D348">
        <v>5</v>
      </c>
      <c r="E348">
        <v>46012</v>
      </c>
      <c r="F348" t="s">
        <v>12</v>
      </c>
    </row>
    <row r="349" spans="1:22" x14ac:dyDescent="0.2">
      <c r="A349" t="s">
        <v>10</v>
      </c>
      <c r="B349" t="s">
        <v>11</v>
      </c>
      <c r="C349">
        <v>2019</v>
      </c>
      <c r="D349">
        <v>6</v>
      </c>
      <c r="E349">
        <v>60140</v>
      </c>
      <c r="F349" t="s">
        <v>24</v>
      </c>
    </row>
    <row r="350" spans="1:22" x14ac:dyDescent="0.2">
      <c r="A350" t="s">
        <v>10</v>
      </c>
      <c r="B350" t="s">
        <v>11</v>
      </c>
      <c r="C350">
        <v>2019</v>
      </c>
      <c r="D350">
        <v>7</v>
      </c>
      <c r="E350">
        <v>73577</v>
      </c>
      <c r="F350" t="s">
        <v>12</v>
      </c>
    </row>
    <row r="351" spans="1:22" x14ac:dyDescent="0.2">
      <c r="A351" t="s">
        <v>10</v>
      </c>
      <c r="B351" t="s">
        <v>11</v>
      </c>
      <c r="C351">
        <v>2019</v>
      </c>
      <c r="D351">
        <v>8</v>
      </c>
      <c r="E351">
        <v>73064</v>
      </c>
      <c r="F351" t="s">
        <v>12</v>
      </c>
      <c r="P351" t="s">
        <v>10</v>
      </c>
      <c r="Q351" t="s">
        <v>11</v>
      </c>
      <c r="R351" t="s">
        <v>41</v>
      </c>
      <c r="S351">
        <v>5</v>
      </c>
      <c r="T351">
        <v>10</v>
      </c>
      <c r="U351" t="s">
        <v>17</v>
      </c>
      <c r="V351" t="s">
        <v>18</v>
      </c>
    </row>
    <row r="352" spans="1:22" x14ac:dyDescent="0.2">
      <c r="A352" t="s">
        <v>10</v>
      </c>
      <c r="B352" t="s">
        <v>11</v>
      </c>
      <c r="C352">
        <v>2019</v>
      </c>
      <c r="D352">
        <v>9</v>
      </c>
      <c r="E352">
        <v>60986</v>
      </c>
      <c r="F352" t="s">
        <v>24</v>
      </c>
    </row>
    <row r="353" spans="1:7" x14ac:dyDescent="0.2">
      <c r="A353" t="s">
        <v>10</v>
      </c>
      <c r="B353" t="s">
        <v>11</v>
      </c>
      <c r="C353">
        <v>2019</v>
      </c>
      <c r="D353">
        <v>10</v>
      </c>
      <c r="E353">
        <v>40038</v>
      </c>
      <c r="F353" t="s">
        <v>12</v>
      </c>
    </row>
    <row r="354" spans="1:7" x14ac:dyDescent="0.2">
      <c r="A354" t="s">
        <v>10</v>
      </c>
      <c r="B354" t="s">
        <v>11</v>
      </c>
      <c r="C354">
        <v>2019</v>
      </c>
      <c r="D354">
        <v>11</v>
      </c>
      <c r="E354">
        <v>69419</v>
      </c>
      <c r="F354" t="s">
        <v>12</v>
      </c>
    </row>
    <row r="355" spans="1:7" x14ac:dyDescent="0.2">
      <c r="A355" t="s">
        <v>10</v>
      </c>
      <c r="B355" t="s">
        <v>11</v>
      </c>
      <c r="C355">
        <v>2019</v>
      </c>
      <c r="D355">
        <v>12</v>
      </c>
      <c r="E355">
        <v>0</v>
      </c>
      <c r="F355" t="s">
        <v>14</v>
      </c>
    </row>
    <row r="356" spans="1:7" x14ac:dyDescent="0.2">
      <c r="A356" t="s">
        <v>10</v>
      </c>
      <c r="B356" t="s">
        <v>11</v>
      </c>
      <c r="C356">
        <v>2019</v>
      </c>
      <c r="D356">
        <v>13</v>
      </c>
      <c r="E356">
        <v>60944</v>
      </c>
      <c r="F356" t="s">
        <v>24</v>
      </c>
    </row>
    <row r="357" spans="1:7" x14ac:dyDescent="0.2">
      <c r="A357" t="s">
        <v>10</v>
      </c>
      <c r="B357" t="s">
        <v>11</v>
      </c>
      <c r="C357">
        <v>2019</v>
      </c>
      <c r="D357">
        <v>14</v>
      </c>
      <c r="E357">
        <v>63880</v>
      </c>
      <c r="F357" t="s">
        <v>24</v>
      </c>
    </row>
    <row r="358" spans="1:7" x14ac:dyDescent="0.2">
      <c r="A358" t="s">
        <v>10</v>
      </c>
      <c r="B358" t="s">
        <v>11</v>
      </c>
      <c r="C358">
        <v>2019</v>
      </c>
      <c r="D358">
        <v>15</v>
      </c>
      <c r="E358">
        <v>63345</v>
      </c>
      <c r="F358" t="s">
        <v>24</v>
      </c>
    </row>
    <row r="359" spans="1:7" x14ac:dyDescent="0.2">
      <c r="A359" t="s">
        <v>10</v>
      </c>
      <c r="B359" t="s">
        <v>11</v>
      </c>
      <c r="C359">
        <v>2019</v>
      </c>
      <c r="D359">
        <v>16</v>
      </c>
      <c r="E359">
        <v>69022</v>
      </c>
      <c r="F359" t="s">
        <v>12</v>
      </c>
    </row>
    <row r="360" spans="1:7" x14ac:dyDescent="0.2">
      <c r="A360" t="s">
        <v>10</v>
      </c>
      <c r="B360" t="s">
        <v>11</v>
      </c>
      <c r="C360">
        <v>2019</v>
      </c>
      <c r="D360">
        <v>17</v>
      </c>
      <c r="E360">
        <v>68665</v>
      </c>
      <c r="F360" t="s">
        <v>12</v>
      </c>
    </row>
    <row r="361" spans="1:7" x14ac:dyDescent="0.2">
      <c r="E361">
        <f>AVERAGE(E344,E346:E347,E349,E352,E356:E358)</f>
        <v>61323.25</v>
      </c>
      <c r="G361">
        <f>AVERAGEIF(F344:F360,"*home*",E344:E360)</f>
        <v>61323.25</v>
      </c>
    </row>
  </sheetData>
  <pageMargins left="0.7" right="0.7" top="0.75" bottom="0.75" header="0.3" footer="0.3"/>
  <pageSetup orientation="portrait" horizontalDpi="0" verticalDpi="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54D4E-F193-4FAB-882D-2726CCA40D09}">
  <sheetPr codeName="Sheet2"/>
  <dimension ref="A1:V361"/>
  <sheetViews>
    <sheetView topLeftCell="A336" workbookViewId="0">
      <selection activeCell="S351" sqref="S351"/>
    </sheetView>
  </sheetViews>
  <sheetFormatPr baseColWidth="10" defaultColWidth="8.6640625" defaultRowHeight="15" x14ac:dyDescent="0.2"/>
  <cols>
    <col min="5" max="5" width="17" bestFit="1" customWidth="1"/>
    <col min="6" max="6" width="11.6640625" bestFit="1" customWidth="1"/>
    <col min="16" max="16" width="6.6640625" bestFit="1" customWidth="1"/>
    <col min="17" max="17" width="10.6640625" bestFit="1" customWidth="1"/>
    <col min="18" max="18" width="10.5" bestFit="1" customWidth="1"/>
    <col min="21" max="21" width="10.5" bestFit="1" customWidth="1"/>
    <col min="22" max="22" width="20.5" bestFit="1" customWidth="1"/>
  </cols>
  <sheetData>
    <row r="1" spans="1:22" x14ac:dyDescent="0.2">
      <c r="A1" t="s">
        <v>0</v>
      </c>
      <c r="B1" t="s">
        <v>1</v>
      </c>
      <c r="C1" t="s">
        <v>2</v>
      </c>
      <c r="D1" t="s">
        <v>3</v>
      </c>
      <c r="E1" t="s">
        <v>4</v>
      </c>
      <c r="F1" t="s">
        <v>5</v>
      </c>
      <c r="P1" t="s">
        <v>0</v>
      </c>
      <c r="Q1" t="s">
        <v>1</v>
      </c>
      <c r="R1" t="s">
        <v>2</v>
      </c>
      <c r="S1" t="s">
        <v>6</v>
      </c>
      <c r="T1" t="s">
        <v>7</v>
      </c>
      <c r="U1" t="s">
        <v>8</v>
      </c>
      <c r="V1" t="s">
        <v>9</v>
      </c>
    </row>
    <row r="2" spans="1:22" x14ac:dyDescent="0.2">
      <c r="A2" t="s">
        <v>42</v>
      </c>
      <c r="B2" t="s">
        <v>43</v>
      </c>
      <c r="C2">
        <v>2000</v>
      </c>
      <c r="D2">
        <v>1</v>
      </c>
      <c r="E2">
        <v>72949</v>
      </c>
      <c r="F2" t="s">
        <v>44</v>
      </c>
    </row>
    <row r="3" spans="1:22" x14ac:dyDescent="0.2">
      <c r="A3" t="s">
        <v>42</v>
      </c>
      <c r="B3" t="s">
        <v>43</v>
      </c>
      <c r="C3">
        <v>2000</v>
      </c>
      <c r="D3">
        <v>2</v>
      </c>
      <c r="E3">
        <v>64869</v>
      </c>
      <c r="F3" t="s">
        <v>15</v>
      </c>
    </row>
    <row r="4" spans="1:22" x14ac:dyDescent="0.2">
      <c r="A4" t="s">
        <v>42</v>
      </c>
      <c r="B4" t="s">
        <v>43</v>
      </c>
      <c r="C4">
        <v>2000</v>
      </c>
      <c r="D4">
        <v>3</v>
      </c>
      <c r="E4">
        <v>59513</v>
      </c>
      <c r="F4" t="s">
        <v>15</v>
      </c>
    </row>
    <row r="5" spans="1:22" x14ac:dyDescent="0.2">
      <c r="A5" t="s">
        <v>42</v>
      </c>
      <c r="B5" t="s">
        <v>43</v>
      </c>
      <c r="C5">
        <v>2000</v>
      </c>
      <c r="D5">
        <v>4</v>
      </c>
      <c r="E5">
        <v>47233</v>
      </c>
      <c r="F5" t="s">
        <v>44</v>
      </c>
    </row>
    <row r="6" spans="1:22" x14ac:dyDescent="0.2">
      <c r="A6" t="s">
        <v>42</v>
      </c>
      <c r="B6" t="s">
        <v>43</v>
      </c>
      <c r="C6">
        <v>2000</v>
      </c>
      <c r="D6">
        <v>5</v>
      </c>
      <c r="E6">
        <v>82893</v>
      </c>
      <c r="F6" t="s">
        <v>44</v>
      </c>
    </row>
    <row r="7" spans="1:22" x14ac:dyDescent="0.2">
      <c r="A7" t="s">
        <v>42</v>
      </c>
      <c r="B7" t="s">
        <v>43</v>
      </c>
      <c r="C7">
        <v>2000</v>
      </c>
      <c r="D7">
        <v>6</v>
      </c>
      <c r="E7">
        <v>72192</v>
      </c>
      <c r="F7" t="s">
        <v>44</v>
      </c>
    </row>
    <row r="8" spans="1:22" x14ac:dyDescent="0.2">
      <c r="A8" t="s">
        <v>42</v>
      </c>
      <c r="B8" t="s">
        <v>43</v>
      </c>
      <c r="C8">
        <v>2000</v>
      </c>
      <c r="D8">
        <v>7</v>
      </c>
      <c r="E8">
        <v>63593</v>
      </c>
      <c r="F8" t="s">
        <v>15</v>
      </c>
    </row>
    <row r="9" spans="1:22" x14ac:dyDescent="0.2">
      <c r="A9" t="s">
        <v>42</v>
      </c>
      <c r="B9" t="s">
        <v>43</v>
      </c>
      <c r="C9">
        <v>2000</v>
      </c>
      <c r="D9">
        <v>8</v>
      </c>
      <c r="E9">
        <v>57490</v>
      </c>
      <c r="F9" t="s">
        <v>44</v>
      </c>
      <c r="P9" t="s">
        <v>42</v>
      </c>
      <c r="Q9" t="s">
        <v>43</v>
      </c>
      <c r="R9" t="s">
        <v>16</v>
      </c>
      <c r="S9">
        <v>6</v>
      </c>
      <c r="T9">
        <v>10</v>
      </c>
      <c r="U9" t="s">
        <v>17</v>
      </c>
      <c r="V9" t="s">
        <v>18</v>
      </c>
    </row>
    <row r="10" spans="1:22" x14ac:dyDescent="0.2">
      <c r="A10" t="s">
        <v>42</v>
      </c>
      <c r="B10" t="s">
        <v>43</v>
      </c>
      <c r="C10">
        <v>2000</v>
      </c>
      <c r="D10">
        <v>9</v>
      </c>
      <c r="E10">
        <v>62141</v>
      </c>
      <c r="F10" t="s">
        <v>15</v>
      </c>
    </row>
    <row r="11" spans="1:22" x14ac:dyDescent="0.2">
      <c r="A11" t="s">
        <v>42</v>
      </c>
      <c r="B11" t="s">
        <v>43</v>
      </c>
      <c r="C11">
        <v>2000</v>
      </c>
      <c r="D11">
        <v>10</v>
      </c>
      <c r="E11">
        <v>59884</v>
      </c>
      <c r="F11" t="s">
        <v>15</v>
      </c>
    </row>
    <row r="12" spans="1:22" x14ac:dyDescent="0.2">
      <c r="A12" t="s">
        <v>42</v>
      </c>
      <c r="B12" t="s">
        <v>43</v>
      </c>
      <c r="C12">
        <v>2000</v>
      </c>
      <c r="D12">
        <v>11</v>
      </c>
      <c r="E12">
        <v>68063</v>
      </c>
      <c r="F12" t="s">
        <v>44</v>
      </c>
    </row>
    <row r="13" spans="1:22" x14ac:dyDescent="0.2">
      <c r="A13" t="s">
        <v>42</v>
      </c>
      <c r="B13" t="s">
        <v>43</v>
      </c>
      <c r="C13">
        <v>2000</v>
      </c>
      <c r="D13">
        <v>12</v>
      </c>
      <c r="E13">
        <v>0</v>
      </c>
      <c r="F13" t="s">
        <v>14</v>
      </c>
    </row>
    <row r="14" spans="1:22" x14ac:dyDescent="0.2">
      <c r="A14" t="s">
        <v>42</v>
      </c>
      <c r="B14" t="s">
        <v>43</v>
      </c>
      <c r="C14">
        <v>2000</v>
      </c>
      <c r="D14">
        <v>13</v>
      </c>
      <c r="E14">
        <v>68661</v>
      </c>
      <c r="F14" t="s">
        <v>15</v>
      </c>
    </row>
    <row r="15" spans="1:22" x14ac:dyDescent="0.2">
      <c r="A15" t="s">
        <v>42</v>
      </c>
      <c r="B15" t="s">
        <v>43</v>
      </c>
      <c r="C15">
        <v>2000</v>
      </c>
      <c r="D15">
        <v>14</v>
      </c>
      <c r="E15">
        <v>44680</v>
      </c>
      <c r="F15" t="s">
        <v>44</v>
      </c>
    </row>
    <row r="16" spans="1:22" x14ac:dyDescent="0.2">
      <c r="A16" t="s">
        <v>42</v>
      </c>
      <c r="B16" t="s">
        <v>43</v>
      </c>
      <c r="C16">
        <v>2000</v>
      </c>
      <c r="D16">
        <v>15</v>
      </c>
      <c r="E16">
        <v>75218</v>
      </c>
      <c r="F16" t="s">
        <v>44</v>
      </c>
    </row>
    <row r="17" spans="1:22" x14ac:dyDescent="0.2">
      <c r="A17" t="s">
        <v>42</v>
      </c>
      <c r="B17" t="s">
        <v>43</v>
      </c>
      <c r="C17">
        <v>2000</v>
      </c>
      <c r="D17">
        <v>16</v>
      </c>
      <c r="E17">
        <v>68681</v>
      </c>
      <c r="F17" t="s">
        <v>15</v>
      </c>
    </row>
    <row r="18" spans="1:22" x14ac:dyDescent="0.2">
      <c r="A18" t="s">
        <v>42</v>
      </c>
      <c r="B18" t="s">
        <v>43</v>
      </c>
      <c r="C18">
        <v>2000</v>
      </c>
      <c r="D18">
        <v>17</v>
      </c>
      <c r="E18">
        <v>61025</v>
      </c>
      <c r="F18" t="s">
        <v>15</v>
      </c>
      <c r="G18">
        <f>AVERAGEIF(F2:F18,"home",E2:E18)</f>
        <v>63545.875</v>
      </c>
    </row>
    <row r="19" spans="1:22" x14ac:dyDescent="0.2">
      <c r="A19" t="s">
        <v>0</v>
      </c>
      <c r="B19" t="s">
        <v>1</v>
      </c>
      <c r="C19" t="s">
        <v>2</v>
      </c>
      <c r="D19" t="s">
        <v>3</v>
      </c>
      <c r="E19" t="s">
        <v>4</v>
      </c>
      <c r="P19" t="s">
        <v>0</v>
      </c>
      <c r="Q19" t="s">
        <v>1</v>
      </c>
      <c r="R19" t="s">
        <v>2</v>
      </c>
      <c r="S19" t="s">
        <v>6</v>
      </c>
      <c r="T19" t="s">
        <v>7</v>
      </c>
      <c r="U19" t="s">
        <v>8</v>
      </c>
      <c r="V19" t="s">
        <v>9</v>
      </c>
    </row>
    <row r="20" spans="1:22" x14ac:dyDescent="0.2">
      <c r="A20" t="s">
        <v>42</v>
      </c>
      <c r="B20" t="s">
        <v>43</v>
      </c>
      <c r="C20">
        <v>2001</v>
      </c>
      <c r="D20">
        <v>1</v>
      </c>
      <c r="E20">
        <v>72318</v>
      </c>
      <c r="F20" t="s">
        <v>44</v>
      </c>
    </row>
    <row r="21" spans="1:22" x14ac:dyDescent="0.2">
      <c r="A21" t="s">
        <v>42</v>
      </c>
      <c r="B21" t="s">
        <v>43</v>
      </c>
      <c r="C21">
        <v>2001</v>
      </c>
      <c r="D21">
        <v>2</v>
      </c>
      <c r="E21">
        <v>62826</v>
      </c>
      <c r="F21" t="s">
        <v>15</v>
      </c>
    </row>
    <row r="22" spans="1:22" x14ac:dyDescent="0.2">
      <c r="A22" t="s">
        <v>42</v>
      </c>
      <c r="B22" t="s">
        <v>43</v>
      </c>
      <c r="C22">
        <v>2001</v>
      </c>
      <c r="D22">
        <v>3</v>
      </c>
      <c r="E22">
        <v>54629</v>
      </c>
      <c r="F22" t="s">
        <v>44</v>
      </c>
    </row>
    <row r="23" spans="1:22" x14ac:dyDescent="0.2">
      <c r="A23" t="s">
        <v>42</v>
      </c>
      <c r="B23" t="s">
        <v>43</v>
      </c>
      <c r="C23">
        <v>2001</v>
      </c>
      <c r="D23">
        <v>4</v>
      </c>
      <c r="E23">
        <v>54524</v>
      </c>
      <c r="F23" t="s">
        <v>13</v>
      </c>
    </row>
    <row r="24" spans="1:22" x14ac:dyDescent="0.2">
      <c r="A24" t="s">
        <v>42</v>
      </c>
      <c r="B24" t="s">
        <v>43</v>
      </c>
      <c r="C24">
        <v>2001</v>
      </c>
      <c r="D24">
        <v>5</v>
      </c>
      <c r="E24">
        <v>61837</v>
      </c>
      <c r="F24" t="s">
        <v>13</v>
      </c>
    </row>
    <row r="25" spans="1:22" x14ac:dyDescent="0.2">
      <c r="A25" t="s">
        <v>42</v>
      </c>
      <c r="B25" t="s">
        <v>43</v>
      </c>
      <c r="C25">
        <v>2001</v>
      </c>
      <c r="D25">
        <v>6</v>
      </c>
      <c r="E25">
        <v>0</v>
      </c>
      <c r="F25" t="s">
        <v>14</v>
      </c>
    </row>
    <row r="26" spans="1:22" x14ac:dyDescent="0.2">
      <c r="A26" t="s">
        <v>42</v>
      </c>
      <c r="B26" t="s">
        <v>43</v>
      </c>
      <c r="C26">
        <v>2001</v>
      </c>
      <c r="D26">
        <v>7</v>
      </c>
      <c r="E26">
        <v>59108</v>
      </c>
      <c r="F26" t="s">
        <v>13</v>
      </c>
    </row>
    <row r="27" spans="1:22" x14ac:dyDescent="0.2">
      <c r="A27" t="s">
        <v>42</v>
      </c>
      <c r="B27" t="s">
        <v>43</v>
      </c>
      <c r="C27">
        <v>2001</v>
      </c>
      <c r="D27">
        <v>8</v>
      </c>
      <c r="E27">
        <v>82352</v>
      </c>
      <c r="F27" t="s">
        <v>12</v>
      </c>
      <c r="P27" t="s">
        <v>42</v>
      </c>
      <c r="Q27" t="s">
        <v>43</v>
      </c>
      <c r="R27" t="s">
        <v>19</v>
      </c>
      <c r="S27">
        <v>9</v>
      </c>
      <c r="T27">
        <v>7</v>
      </c>
      <c r="U27" t="s">
        <v>17</v>
      </c>
      <c r="V27" t="s">
        <v>18</v>
      </c>
    </row>
    <row r="28" spans="1:22" x14ac:dyDescent="0.2">
      <c r="A28" t="s">
        <v>42</v>
      </c>
      <c r="B28" t="s">
        <v>43</v>
      </c>
      <c r="C28">
        <v>2001</v>
      </c>
      <c r="D28">
        <v>9</v>
      </c>
      <c r="E28">
        <v>67231</v>
      </c>
      <c r="F28" t="s">
        <v>13</v>
      </c>
    </row>
    <row r="29" spans="1:22" x14ac:dyDescent="0.2">
      <c r="A29" t="s">
        <v>42</v>
      </c>
      <c r="B29" t="s">
        <v>43</v>
      </c>
      <c r="C29">
        <v>2001</v>
      </c>
      <c r="D29">
        <v>10</v>
      </c>
      <c r="E29">
        <v>60836</v>
      </c>
      <c r="F29" t="s">
        <v>12</v>
      </c>
    </row>
    <row r="30" spans="1:22" x14ac:dyDescent="0.2">
      <c r="A30" t="s">
        <v>42</v>
      </c>
      <c r="B30" t="s">
        <v>43</v>
      </c>
      <c r="C30">
        <v>2001</v>
      </c>
      <c r="D30">
        <v>11</v>
      </c>
      <c r="E30">
        <v>77357</v>
      </c>
      <c r="F30" t="s">
        <v>12</v>
      </c>
    </row>
    <row r="31" spans="1:22" x14ac:dyDescent="0.2">
      <c r="A31" t="s">
        <v>42</v>
      </c>
      <c r="B31" t="s">
        <v>43</v>
      </c>
      <c r="C31">
        <v>2001</v>
      </c>
      <c r="D31">
        <v>12</v>
      </c>
      <c r="E31">
        <v>55466</v>
      </c>
      <c r="F31" t="s">
        <v>13</v>
      </c>
    </row>
    <row r="32" spans="1:22" x14ac:dyDescent="0.2">
      <c r="A32" t="s">
        <v>42</v>
      </c>
      <c r="B32" t="s">
        <v>43</v>
      </c>
      <c r="C32">
        <v>2001</v>
      </c>
      <c r="D32">
        <v>13</v>
      </c>
      <c r="E32">
        <v>74524</v>
      </c>
      <c r="F32" t="s">
        <v>12</v>
      </c>
    </row>
    <row r="33" spans="1:22" x14ac:dyDescent="0.2">
      <c r="A33" t="s">
        <v>42</v>
      </c>
      <c r="B33" t="s">
        <v>43</v>
      </c>
      <c r="C33">
        <v>2001</v>
      </c>
      <c r="D33">
        <v>14</v>
      </c>
      <c r="E33">
        <v>63366</v>
      </c>
      <c r="F33" t="s">
        <v>13</v>
      </c>
    </row>
    <row r="34" spans="1:22" x14ac:dyDescent="0.2">
      <c r="A34" t="s">
        <v>42</v>
      </c>
      <c r="B34" t="s">
        <v>43</v>
      </c>
      <c r="C34">
        <v>2001</v>
      </c>
      <c r="D34">
        <v>15</v>
      </c>
      <c r="E34">
        <v>78119</v>
      </c>
      <c r="F34" t="s">
        <v>12</v>
      </c>
    </row>
    <row r="35" spans="1:22" x14ac:dyDescent="0.2">
      <c r="A35" t="s">
        <v>42</v>
      </c>
      <c r="B35" t="s">
        <v>43</v>
      </c>
      <c r="C35">
        <v>2001</v>
      </c>
      <c r="D35">
        <v>16</v>
      </c>
      <c r="E35">
        <v>51412</v>
      </c>
      <c r="F35" t="s">
        <v>12</v>
      </c>
    </row>
    <row r="36" spans="1:22" x14ac:dyDescent="0.2">
      <c r="A36" t="s">
        <v>42</v>
      </c>
      <c r="B36" t="s">
        <v>43</v>
      </c>
      <c r="C36">
        <v>2001</v>
      </c>
      <c r="D36">
        <v>17</v>
      </c>
      <c r="E36">
        <v>58460</v>
      </c>
      <c r="F36" t="s">
        <v>13</v>
      </c>
      <c r="G36">
        <f>AVERAGEIF(F20:F36,"home",E20:E36)</f>
        <v>60352.25</v>
      </c>
    </row>
    <row r="37" spans="1:22" x14ac:dyDescent="0.2">
      <c r="A37" t="s">
        <v>0</v>
      </c>
      <c r="B37" t="s">
        <v>1</v>
      </c>
      <c r="C37" t="s">
        <v>2</v>
      </c>
      <c r="D37" t="s">
        <v>3</v>
      </c>
      <c r="E37" t="s">
        <v>4</v>
      </c>
      <c r="P37" t="s">
        <v>0</v>
      </c>
      <c r="Q37" t="s">
        <v>1</v>
      </c>
      <c r="R37" t="s">
        <v>2</v>
      </c>
      <c r="S37" t="s">
        <v>6</v>
      </c>
      <c r="T37" t="s">
        <v>7</v>
      </c>
      <c r="U37" t="s">
        <v>8</v>
      </c>
      <c r="V37" t="s">
        <v>9</v>
      </c>
    </row>
    <row r="38" spans="1:22" x14ac:dyDescent="0.2">
      <c r="A38" t="s">
        <v>42</v>
      </c>
      <c r="B38" t="s">
        <v>43</v>
      </c>
      <c r="C38">
        <v>2002</v>
      </c>
      <c r="D38">
        <v>1</v>
      </c>
      <c r="E38">
        <v>53260</v>
      </c>
      <c r="F38" t="s">
        <v>12</v>
      </c>
    </row>
    <row r="39" spans="1:22" x14ac:dyDescent="0.2">
      <c r="A39" t="s">
        <v>42</v>
      </c>
      <c r="B39" t="s">
        <v>43</v>
      </c>
      <c r="C39">
        <v>2002</v>
      </c>
      <c r="D39">
        <v>2</v>
      </c>
      <c r="E39">
        <v>63104</v>
      </c>
      <c r="F39" t="s">
        <v>13</v>
      </c>
    </row>
    <row r="40" spans="1:22" x14ac:dyDescent="0.2">
      <c r="A40" t="s">
        <v>42</v>
      </c>
      <c r="B40" t="s">
        <v>43</v>
      </c>
      <c r="C40">
        <v>2002</v>
      </c>
      <c r="D40">
        <v>3</v>
      </c>
      <c r="E40">
        <v>78551</v>
      </c>
      <c r="F40" t="s">
        <v>12</v>
      </c>
    </row>
    <row r="41" spans="1:22" x14ac:dyDescent="0.2">
      <c r="A41" t="s">
        <v>42</v>
      </c>
      <c r="B41" t="s">
        <v>43</v>
      </c>
      <c r="C41">
        <v>2002</v>
      </c>
      <c r="D41">
        <v>4</v>
      </c>
      <c r="E41">
        <v>65212</v>
      </c>
      <c r="F41" t="s">
        <v>13</v>
      </c>
    </row>
    <row r="42" spans="1:22" x14ac:dyDescent="0.2">
      <c r="A42" t="s">
        <v>42</v>
      </c>
      <c r="B42" t="s">
        <v>43</v>
      </c>
      <c r="C42">
        <v>2002</v>
      </c>
      <c r="D42">
        <v>5</v>
      </c>
      <c r="E42">
        <v>0</v>
      </c>
      <c r="F42" t="s">
        <v>14</v>
      </c>
    </row>
    <row r="43" spans="1:22" x14ac:dyDescent="0.2">
      <c r="A43" t="s">
        <v>42</v>
      </c>
      <c r="B43" t="s">
        <v>43</v>
      </c>
      <c r="C43">
        <v>2002</v>
      </c>
      <c r="D43">
        <v>6</v>
      </c>
      <c r="E43">
        <v>66420</v>
      </c>
      <c r="F43" t="s">
        <v>13</v>
      </c>
    </row>
    <row r="44" spans="1:22" x14ac:dyDescent="0.2">
      <c r="A44" t="s">
        <v>42</v>
      </c>
      <c r="B44" t="s">
        <v>43</v>
      </c>
      <c r="C44">
        <v>2002</v>
      </c>
      <c r="D44">
        <v>7</v>
      </c>
      <c r="E44">
        <v>65931</v>
      </c>
      <c r="F44" t="s">
        <v>12</v>
      </c>
    </row>
    <row r="45" spans="1:22" x14ac:dyDescent="0.2">
      <c r="A45" t="s">
        <v>42</v>
      </c>
      <c r="B45" t="s">
        <v>43</v>
      </c>
      <c r="C45">
        <v>2002</v>
      </c>
      <c r="D45">
        <v>8</v>
      </c>
      <c r="E45">
        <v>63854</v>
      </c>
      <c r="F45" t="s">
        <v>12</v>
      </c>
      <c r="P45" t="s">
        <v>42</v>
      </c>
      <c r="Q45" t="s">
        <v>43</v>
      </c>
      <c r="R45" t="s">
        <v>20</v>
      </c>
      <c r="S45">
        <v>7</v>
      </c>
      <c r="T45">
        <v>9</v>
      </c>
      <c r="U45" t="s">
        <v>17</v>
      </c>
      <c r="V45" t="s">
        <v>18</v>
      </c>
    </row>
    <row r="46" spans="1:22" x14ac:dyDescent="0.2">
      <c r="A46" t="s">
        <v>42</v>
      </c>
      <c r="B46" t="s">
        <v>43</v>
      </c>
      <c r="C46">
        <v>2002</v>
      </c>
      <c r="D46">
        <v>9</v>
      </c>
      <c r="E46">
        <v>64325</v>
      </c>
      <c r="F46" t="s">
        <v>13</v>
      </c>
    </row>
    <row r="47" spans="1:22" x14ac:dyDescent="0.2">
      <c r="A47" t="s">
        <v>42</v>
      </c>
      <c r="B47" t="s">
        <v>43</v>
      </c>
      <c r="C47">
        <v>2002</v>
      </c>
      <c r="D47">
        <v>10</v>
      </c>
      <c r="E47">
        <v>29252</v>
      </c>
      <c r="F47" t="s">
        <v>12</v>
      </c>
    </row>
    <row r="48" spans="1:22" x14ac:dyDescent="0.2">
      <c r="A48" t="s">
        <v>42</v>
      </c>
      <c r="B48" t="s">
        <v>43</v>
      </c>
      <c r="C48">
        <v>2002</v>
      </c>
      <c r="D48">
        <v>11</v>
      </c>
      <c r="E48">
        <v>65495</v>
      </c>
      <c r="F48" t="s">
        <v>13</v>
      </c>
    </row>
    <row r="49" spans="1:22" x14ac:dyDescent="0.2">
      <c r="A49" t="s">
        <v>42</v>
      </c>
      <c r="B49" t="s">
        <v>43</v>
      </c>
      <c r="C49">
        <v>2002</v>
      </c>
      <c r="D49">
        <v>12</v>
      </c>
      <c r="E49">
        <v>56250</v>
      </c>
      <c r="F49" t="s">
        <v>13</v>
      </c>
    </row>
    <row r="50" spans="1:22" x14ac:dyDescent="0.2">
      <c r="A50" t="s">
        <v>42</v>
      </c>
      <c r="B50" t="s">
        <v>43</v>
      </c>
      <c r="C50">
        <v>2002</v>
      </c>
      <c r="D50">
        <v>13</v>
      </c>
      <c r="E50">
        <v>67594</v>
      </c>
      <c r="F50" t="s">
        <v>12</v>
      </c>
    </row>
    <row r="51" spans="1:22" x14ac:dyDescent="0.2">
      <c r="A51" t="s">
        <v>42</v>
      </c>
      <c r="B51" t="s">
        <v>43</v>
      </c>
      <c r="C51">
        <v>2002</v>
      </c>
      <c r="D51">
        <v>14</v>
      </c>
      <c r="E51">
        <v>59862</v>
      </c>
      <c r="F51" t="s">
        <v>13</v>
      </c>
    </row>
    <row r="52" spans="1:22" x14ac:dyDescent="0.2">
      <c r="A52" t="s">
        <v>42</v>
      </c>
      <c r="B52" t="s">
        <v>43</v>
      </c>
      <c r="C52">
        <v>2002</v>
      </c>
      <c r="D52">
        <v>15</v>
      </c>
      <c r="E52">
        <v>69551</v>
      </c>
      <c r="F52" t="s">
        <v>12</v>
      </c>
    </row>
    <row r="53" spans="1:22" x14ac:dyDescent="0.2">
      <c r="A53" t="s">
        <v>42</v>
      </c>
      <c r="B53" t="s">
        <v>43</v>
      </c>
      <c r="C53">
        <v>2002</v>
      </c>
      <c r="D53">
        <v>16</v>
      </c>
      <c r="E53">
        <v>63953</v>
      </c>
      <c r="F53" t="s">
        <v>15</v>
      </c>
    </row>
    <row r="54" spans="1:22" x14ac:dyDescent="0.2">
      <c r="A54" t="s">
        <v>42</v>
      </c>
      <c r="B54" t="s">
        <v>43</v>
      </c>
      <c r="C54">
        <v>2002</v>
      </c>
      <c r="D54">
        <v>17</v>
      </c>
      <c r="E54">
        <v>52159</v>
      </c>
      <c r="F54" t="s">
        <v>12</v>
      </c>
      <c r="G54">
        <f>AVERAGEIF(F38:F54,"home",E38:E54)</f>
        <v>63077.625</v>
      </c>
    </row>
    <row r="55" spans="1:22" x14ac:dyDescent="0.2">
      <c r="A55" t="s">
        <v>0</v>
      </c>
      <c r="B55" t="s">
        <v>1</v>
      </c>
      <c r="C55" t="s">
        <v>2</v>
      </c>
      <c r="D55" t="s">
        <v>3</v>
      </c>
      <c r="E55" t="s">
        <v>4</v>
      </c>
      <c r="P55" t="s">
        <v>0</v>
      </c>
      <c r="Q55" t="s">
        <v>1</v>
      </c>
      <c r="R55" t="s">
        <v>2</v>
      </c>
      <c r="S55" t="s">
        <v>6</v>
      </c>
      <c r="T55" t="s">
        <v>7</v>
      </c>
      <c r="U55" t="s">
        <v>8</v>
      </c>
      <c r="V55" t="s">
        <v>9</v>
      </c>
    </row>
    <row r="56" spans="1:22" x14ac:dyDescent="0.2">
      <c r="A56" t="s">
        <v>42</v>
      </c>
      <c r="B56" t="s">
        <v>43</v>
      </c>
      <c r="C56">
        <v>2003</v>
      </c>
      <c r="D56">
        <v>1</v>
      </c>
      <c r="E56">
        <v>52250</v>
      </c>
      <c r="F56" t="s">
        <v>13</v>
      </c>
    </row>
    <row r="57" spans="1:22" x14ac:dyDescent="0.2">
      <c r="A57" t="s">
        <v>42</v>
      </c>
      <c r="B57" t="s">
        <v>43</v>
      </c>
      <c r="C57">
        <v>2003</v>
      </c>
      <c r="D57">
        <v>2</v>
      </c>
      <c r="E57">
        <v>23127</v>
      </c>
      <c r="F57" t="s">
        <v>12</v>
      </c>
    </row>
    <row r="58" spans="1:22" x14ac:dyDescent="0.2">
      <c r="A58" t="s">
        <v>42</v>
      </c>
      <c r="B58" t="s">
        <v>43</v>
      </c>
      <c r="C58">
        <v>2003</v>
      </c>
      <c r="D58">
        <v>3</v>
      </c>
      <c r="E58">
        <v>65841</v>
      </c>
      <c r="F58" t="s">
        <v>13</v>
      </c>
    </row>
    <row r="59" spans="1:22" x14ac:dyDescent="0.2">
      <c r="A59" t="s">
        <v>42</v>
      </c>
      <c r="B59" t="s">
        <v>43</v>
      </c>
      <c r="C59">
        <v>2003</v>
      </c>
      <c r="D59">
        <v>4</v>
      </c>
      <c r="E59">
        <v>0</v>
      </c>
      <c r="F59" t="s">
        <v>14</v>
      </c>
    </row>
    <row r="60" spans="1:22" x14ac:dyDescent="0.2">
      <c r="A60" t="s">
        <v>42</v>
      </c>
      <c r="B60" t="s">
        <v>43</v>
      </c>
      <c r="C60">
        <v>2003</v>
      </c>
      <c r="D60">
        <v>5</v>
      </c>
      <c r="E60">
        <v>70365</v>
      </c>
      <c r="F60" t="s">
        <v>12</v>
      </c>
    </row>
    <row r="61" spans="1:22" x14ac:dyDescent="0.2">
      <c r="A61" t="s">
        <v>42</v>
      </c>
      <c r="B61" t="s">
        <v>43</v>
      </c>
      <c r="C61">
        <v>2003</v>
      </c>
      <c r="D61">
        <v>6</v>
      </c>
      <c r="E61">
        <v>66437</v>
      </c>
      <c r="F61" t="s">
        <v>13</v>
      </c>
    </row>
    <row r="62" spans="1:22" x14ac:dyDescent="0.2">
      <c r="A62" t="s">
        <v>42</v>
      </c>
      <c r="B62" t="s">
        <v>43</v>
      </c>
      <c r="C62">
        <v>2003</v>
      </c>
      <c r="D62">
        <v>7</v>
      </c>
      <c r="E62">
        <v>65671</v>
      </c>
      <c r="F62" t="s">
        <v>13</v>
      </c>
    </row>
    <row r="63" spans="1:22" x14ac:dyDescent="0.2">
      <c r="A63" t="s">
        <v>42</v>
      </c>
      <c r="B63" t="s">
        <v>43</v>
      </c>
      <c r="C63">
        <v>2003</v>
      </c>
      <c r="D63">
        <v>8</v>
      </c>
      <c r="E63">
        <v>52131</v>
      </c>
      <c r="F63" t="s">
        <v>12</v>
      </c>
      <c r="P63" t="s">
        <v>42</v>
      </c>
      <c r="Q63" t="s">
        <v>43</v>
      </c>
      <c r="R63" t="s">
        <v>21</v>
      </c>
      <c r="S63">
        <v>10</v>
      </c>
      <c r="T63">
        <v>6</v>
      </c>
      <c r="U63" t="s">
        <v>29</v>
      </c>
      <c r="V63" t="s">
        <v>18</v>
      </c>
    </row>
    <row r="64" spans="1:22" x14ac:dyDescent="0.2">
      <c r="A64" t="s">
        <v>42</v>
      </c>
      <c r="B64" t="s">
        <v>43</v>
      </c>
      <c r="C64">
        <v>2003</v>
      </c>
      <c r="D64">
        <v>9</v>
      </c>
      <c r="E64">
        <v>66507</v>
      </c>
      <c r="F64" t="s">
        <v>13</v>
      </c>
    </row>
    <row r="65" spans="1:22" x14ac:dyDescent="0.2">
      <c r="A65" t="s">
        <v>42</v>
      </c>
      <c r="B65" t="s">
        <v>43</v>
      </c>
      <c r="C65">
        <v>2003</v>
      </c>
      <c r="D65">
        <v>10</v>
      </c>
      <c r="E65">
        <v>80728</v>
      </c>
      <c r="F65" t="s">
        <v>12</v>
      </c>
    </row>
    <row r="66" spans="1:22" x14ac:dyDescent="0.2">
      <c r="A66" t="s">
        <v>42</v>
      </c>
      <c r="B66" t="s">
        <v>43</v>
      </c>
      <c r="C66">
        <v>2003</v>
      </c>
      <c r="D66">
        <v>11</v>
      </c>
      <c r="E66">
        <v>65865</v>
      </c>
      <c r="F66" t="s">
        <v>13</v>
      </c>
    </row>
    <row r="67" spans="1:22" x14ac:dyDescent="0.2">
      <c r="A67" t="s">
        <v>42</v>
      </c>
      <c r="B67" t="s">
        <v>43</v>
      </c>
      <c r="C67">
        <v>2003</v>
      </c>
      <c r="D67">
        <v>12</v>
      </c>
      <c r="E67">
        <v>69477</v>
      </c>
      <c r="F67" t="s">
        <v>12</v>
      </c>
    </row>
    <row r="68" spans="1:22" x14ac:dyDescent="0.2">
      <c r="A68" t="s">
        <v>42</v>
      </c>
      <c r="B68" t="s">
        <v>43</v>
      </c>
      <c r="C68">
        <v>2003</v>
      </c>
      <c r="D68">
        <v>13</v>
      </c>
      <c r="E68">
        <v>64680</v>
      </c>
      <c r="F68" t="s">
        <v>13</v>
      </c>
    </row>
    <row r="69" spans="1:22" x14ac:dyDescent="0.2">
      <c r="A69" t="s">
        <v>42</v>
      </c>
      <c r="B69" t="s">
        <v>43</v>
      </c>
      <c r="C69">
        <v>2003</v>
      </c>
      <c r="D69">
        <v>14</v>
      </c>
      <c r="E69">
        <v>63968</v>
      </c>
      <c r="F69" t="s">
        <v>12</v>
      </c>
    </row>
    <row r="70" spans="1:22" x14ac:dyDescent="0.2">
      <c r="A70" t="s">
        <v>42</v>
      </c>
      <c r="B70" t="s">
        <v>43</v>
      </c>
      <c r="C70">
        <v>2003</v>
      </c>
      <c r="D70">
        <v>15</v>
      </c>
      <c r="E70">
        <v>66152</v>
      </c>
      <c r="F70" t="s">
        <v>12</v>
      </c>
    </row>
    <row r="71" spans="1:22" x14ac:dyDescent="0.2">
      <c r="A71" t="s">
        <v>42</v>
      </c>
      <c r="B71" t="s">
        <v>43</v>
      </c>
      <c r="C71">
        <v>2003</v>
      </c>
      <c r="D71">
        <v>16</v>
      </c>
      <c r="E71">
        <v>64899</v>
      </c>
      <c r="F71" t="s">
        <v>13</v>
      </c>
    </row>
    <row r="72" spans="1:22" x14ac:dyDescent="0.2">
      <c r="A72" t="s">
        <v>42</v>
      </c>
      <c r="B72" t="s">
        <v>43</v>
      </c>
      <c r="C72">
        <v>2003</v>
      </c>
      <c r="D72">
        <v>17</v>
      </c>
      <c r="E72">
        <v>67840</v>
      </c>
      <c r="F72" t="s">
        <v>12</v>
      </c>
      <c r="G72">
        <f>AVERAGEIF(F56:F72,"home",E56:E72)</f>
        <v>64018.75</v>
      </c>
    </row>
    <row r="73" spans="1:22" x14ac:dyDescent="0.2">
      <c r="A73" t="s">
        <v>0</v>
      </c>
      <c r="B73" t="s">
        <v>1</v>
      </c>
      <c r="C73" t="s">
        <v>2</v>
      </c>
      <c r="D73" t="s">
        <v>3</v>
      </c>
      <c r="E73" t="s">
        <v>4</v>
      </c>
      <c r="P73" t="s">
        <v>0</v>
      </c>
      <c r="Q73" t="s">
        <v>1</v>
      </c>
      <c r="R73" t="s">
        <v>2</v>
      </c>
      <c r="S73" t="s">
        <v>6</v>
      </c>
      <c r="T73" t="s">
        <v>7</v>
      </c>
      <c r="U73" t="s">
        <v>8</v>
      </c>
      <c r="V73" t="s">
        <v>9</v>
      </c>
    </row>
    <row r="74" spans="1:22" x14ac:dyDescent="0.2">
      <c r="A74" t="s">
        <v>42</v>
      </c>
      <c r="B74" t="s">
        <v>43</v>
      </c>
      <c r="C74">
        <v>2004</v>
      </c>
      <c r="D74">
        <v>1</v>
      </c>
      <c r="E74">
        <v>64900</v>
      </c>
      <c r="F74" t="s">
        <v>12</v>
      </c>
    </row>
    <row r="75" spans="1:22" x14ac:dyDescent="0.2">
      <c r="A75" t="s">
        <v>42</v>
      </c>
      <c r="B75" t="s">
        <v>43</v>
      </c>
      <c r="C75">
        <v>2004</v>
      </c>
      <c r="D75">
        <v>2</v>
      </c>
      <c r="E75">
        <v>65089</v>
      </c>
      <c r="F75" t="s">
        <v>12</v>
      </c>
    </row>
    <row r="76" spans="1:22" x14ac:dyDescent="0.2">
      <c r="A76" t="s">
        <v>42</v>
      </c>
      <c r="B76" t="s">
        <v>43</v>
      </c>
      <c r="C76">
        <v>2004</v>
      </c>
      <c r="D76">
        <v>3</v>
      </c>
      <c r="E76">
        <v>66709</v>
      </c>
      <c r="F76" t="s">
        <v>13</v>
      </c>
    </row>
    <row r="77" spans="1:22" x14ac:dyDescent="0.2">
      <c r="A77" t="s">
        <v>42</v>
      </c>
      <c r="B77" t="s">
        <v>43</v>
      </c>
      <c r="C77">
        <v>2004</v>
      </c>
      <c r="D77">
        <v>4</v>
      </c>
      <c r="E77">
        <v>0</v>
      </c>
      <c r="F77" t="s">
        <v>14</v>
      </c>
    </row>
    <row r="78" spans="1:22" x14ac:dyDescent="0.2">
      <c r="A78" t="s">
        <v>42</v>
      </c>
      <c r="B78" t="s">
        <v>43</v>
      </c>
      <c r="C78">
        <v>2004</v>
      </c>
      <c r="D78">
        <v>5</v>
      </c>
      <c r="E78">
        <v>66940</v>
      </c>
      <c r="F78" t="s">
        <v>13</v>
      </c>
    </row>
    <row r="79" spans="1:22" x14ac:dyDescent="0.2">
      <c r="A79" t="s">
        <v>42</v>
      </c>
      <c r="B79" t="s">
        <v>43</v>
      </c>
      <c r="C79">
        <v>2004</v>
      </c>
      <c r="D79">
        <v>6</v>
      </c>
      <c r="E79">
        <v>68756</v>
      </c>
      <c r="F79" t="s">
        <v>12</v>
      </c>
    </row>
    <row r="80" spans="1:22" x14ac:dyDescent="0.2">
      <c r="A80" t="s">
        <v>42</v>
      </c>
      <c r="B80" t="s">
        <v>43</v>
      </c>
      <c r="C80">
        <v>2004</v>
      </c>
      <c r="D80">
        <v>7</v>
      </c>
      <c r="E80">
        <v>35695</v>
      </c>
      <c r="F80" t="s">
        <v>12</v>
      </c>
    </row>
    <row r="81" spans="1:22" x14ac:dyDescent="0.2">
      <c r="A81" t="s">
        <v>42</v>
      </c>
      <c r="B81" t="s">
        <v>43</v>
      </c>
      <c r="C81">
        <v>2004</v>
      </c>
      <c r="D81">
        <v>8</v>
      </c>
      <c r="E81">
        <v>66214</v>
      </c>
      <c r="F81" t="s">
        <v>13</v>
      </c>
      <c r="P81" t="s">
        <v>42</v>
      </c>
      <c r="Q81" t="s">
        <v>43</v>
      </c>
      <c r="R81" t="s">
        <v>22</v>
      </c>
      <c r="S81">
        <v>9</v>
      </c>
      <c r="T81">
        <v>7</v>
      </c>
      <c r="U81" t="s">
        <v>29</v>
      </c>
      <c r="V81" t="s">
        <v>18</v>
      </c>
    </row>
    <row r="82" spans="1:22" x14ac:dyDescent="0.2">
      <c r="A82" t="s">
        <v>42</v>
      </c>
      <c r="B82" t="s">
        <v>43</v>
      </c>
      <c r="C82">
        <v>2004</v>
      </c>
      <c r="D82">
        <v>9</v>
      </c>
      <c r="E82">
        <v>64423</v>
      </c>
      <c r="F82" t="s">
        <v>12</v>
      </c>
    </row>
    <row r="83" spans="1:22" x14ac:dyDescent="0.2">
      <c r="A83" t="s">
        <v>42</v>
      </c>
      <c r="B83" t="s">
        <v>43</v>
      </c>
      <c r="C83">
        <v>2004</v>
      </c>
      <c r="D83">
        <v>10</v>
      </c>
      <c r="E83">
        <v>66044</v>
      </c>
      <c r="F83" t="s">
        <v>12</v>
      </c>
    </row>
    <row r="84" spans="1:22" x14ac:dyDescent="0.2">
      <c r="A84" t="s">
        <v>42</v>
      </c>
      <c r="B84" t="s">
        <v>43</v>
      </c>
      <c r="C84">
        <v>2004</v>
      </c>
      <c r="D84">
        <v>11</v>
      </c>
      <c r="E84">
        <v>66644</v>
      </c>
      <c r="F84" t="s">
        <v>13</v>
      </c>
    </row>
    <row r="85" spans="1:22" x14ac:dyDescent="0.2">
      <c r="A85" t="s">
        <v>42</v>
      </c>
      <c r="B85" t="s">
        <v>43</v>
      </c>
      <c r="C85">
        <v>2004</v>
      </c>
      <c r="D85">
        <v>12</v>
      </c>
      <c r="E85">
        <v>66271</v>
      </c>
      <c r="F85" t="s">
        <v>13</v>
      </c>
    </row>
    <row r="86" spans="1:22" x14ac:dyDescent="0.2">
      <c r="A86" t="s">
        <v>42</v>
      </c>
      <c r="B86" t="s">
        <v>43</v>
      </c>
      <c r="C86">
        <v>2004</v>
      </c>
      <c r="D86">
        <v>13</v>
      </c>
      <c r="E86">
        <v>68093</v>
      </c>
      <c r="F86" t="s">
        <v>13</v>
      </c>
    </row>
    <row r="87" spans="1:22" x14ac:dyDescent="0.2">
      <c r="A87" t="s">
        <v>42</v>
      </c>
      <c r="B87" t="s">
        <v>43</v>
      </c>
      <c r="C87">
        <v>2004</v>
      </c>
      <c r="D87">
        <v>14</v>
      </c>
      <c r="E87">
        <v>64110</v>
      </c>
      <c r="F87" t="s">
        <v>12</v>
      </c>
    </row>
    <row r="88" spans="1:22" x14ac:dyDescent="0.2">
      <c r="A88" t="s">
        <v>42</v>
      </c>
      <c r="B88" t="s">
        <v>43</v>
      </c>
      <c r="C88">
        <v>2004</v>
      </c>
      <c r="D88">
        <v>15</v>
      </c>
      <c r="E88">
        <v>77894</v>
      </c>
      <c r="F88" t="s">
        <v>12</v>
      </c>
    </row>
    <row r="89" spans="1:22" x14ac:dyDescent="0.2">
      <c r="A89" t="s">
        <v>42</v>
      </c>
      <c r="B89" t="s">
        <v>43</v>
      </c>
      <c r="C89">
        <v>2004</v>
      </c>
      <c r="D89">
        <v>16</v>
      </c>
      <c r="E89">
        <v>65825</v>
      </c>
      <c r="F89" t="s">
        <v>13</v>
      </c>
    </row>
    <row r="90" spans="1:22" x14ac:dyDescent="0.2">
      <c r="A90" t="s">
        <v>42</v>
      </c>
      <c r="B90" t="s">
        <v>43</v>
      </c>
      <c r="C90">
        <v>2004</v>
      </c>
      <c r="D90">
        <v>17</v>
      </c>
      <c r="E90">
        <v>66740</v>
      </c>
      <c r="F90" t="s">
        <v>13</v>
      </c>
    </row>
    <row r="91" spans="1:22" x14ac:dyDescent="0.2">
      <c r="A91" t="s">
        <v>0</v>
      </c>
      <c r="B91" t="s">
        <v>1</v>
      </c>
      <c r="C91" t="s">
        <v>2</v>
      </c>
      <c r="D91" t="s">
        <v>3</v>
      </c>
      <c r="E91" t="s">
        <v>4</v>
      </c>
      <c r="G91">
        <f>AVERAGEIF(F74:F90,"home",E74:E90)</f>
        <v>66679.5</v>
      </c>
      <c r="P91" t="s">
        <v>0</v>
      </c>
      <c r="Q91" t="s">
        <v>1</v>
      </c>
      <c r="R91" t="s">
        <v>2</v>
      </c>
      <c r="S91" t="s">
        <v>6</v>
      </c>
      <c r="T91" t="s">
        <v>7</v>
      </c>
      <c r="U91" t="s">
        <v>8</v>
      </c>
      <c r="V91" t="s">
        <v>9</v>
      </c>
    </row>
    <row r="92" spans="1:22" x14ac:dyDescent="0.2">
      <c r="A92" t="s">
        <v>42</v>
      </c>
      <c r="B92" t="s">
        <v>43</v>
      </c>
      <c r="C92">
        <v>2005</v>
      </c>
      <c r="D92">
        <v>1</v>
      </c>
      <c r="E92">
        <v>65204</v>
      </c>
      <c r="F92" t="s">
        <v>12</v>
      </c>
    </row>
    <row r="93" spans="1:22" x14ac:dyDescent="0.2">
      <c r="A93" t="s">
        <v>42</v>
      </c>
      <c r="B93" t="s">
        <v>43</v>
      </c>
      <c r="C93">
        <v>2005</v>
      </c>
      <c r="D93">
        <v>2</v>
      </c>
      <c r="E93">
        <v>66030</v>
      </c>
      <c r="F93" t="s">
        <v>13</v>
      </c>
    </row>
    <row r="94" spans="1:22" x14ac:dyDescent="0.2">
      <c r="A94" t="s">
        <v>42</v>
      </c>
      <c r="B94" t="s">
        <v>43</v>
      </c>
      <c r="C94">
        <v>2005</v>
      </c>
      <c r="D94">
        <v>3</v>
      </c>
      <c r="E94">
        <v>64843</v>
      </c>
      <c r="F94" t="s">
        <v>13</v>
      </c>
    </row>
    <row r="95" spans="1:22" x14ac:dyDescent="0.2">
      <c r="A95" t="s">
        <v>42</v>
      </c>
      <c r="B95" t="s">
        <v>43</v>
      </c>
      <c r="C95">
        <v>2005</v>
      </c>
      <c r="D95">
        <v>4</v>
      </c>
      <c r="E95">
        <v>90215</v>
      </c>
      <c r="F95" t="s">
        <v>12</v>
      </c>
    </row>
    <row r="96" spans="1:22" x14ac:dyDescent="0.2">
      <c r="A96" t="s">
        <v>42</v>
      </c>
      <c r="B96" t="s">
        <v>43</v>
      </c>
      <c r="C96">
        <v>2005</v>
      </c>
      <c r="D96">
        <v>5</v>
      </c>
      <c r="E96">
        <v>65707</v>
      </c>
      <c r="F96" t="s">
        <v>12</v>
      </c>
    </row>
    <row r="97" spans="1:22" x14ac:dyDescent="0.2">
      <c r="A97" t="s">
        <v>42</v>
      </c>
      <c r="B97" t="s">
        <v>43</v>
      </c>
      <c r="C97">
        <v>2005</v>
      </c>
      <c r="D97">
        <v>6</v>
      </c>
      <c r="E97">
        <v>66196</v>
      </c>
      <c r="F97" t="s">
        <v>13</v>
      </c>
    </row>
    <row r="98" spans="1:22" x14ac:dyDescent="0.2">
      <c r="A98" t="s">
        <v>42</v>
      </c>
      <c r="B98" t="s">
        <v>43</v>
      </c>
      <c r="C98">
        <v>2005</v>
      </c>
      <c r="D98">
        <v>7</v>
      </c>
      <c r="E98">
        <v>67046</v>
      </c>
      <c r="F98" t="s">
        <v>13</v>
      </c>
    </row>
    <row r="99" spans="1:22" x14ac:dyDescent="0.2">
      <c r="A99" t="s">
        <v>42</v>
      </c>
      <c r="B99" t="s">
        <v>43</v>
      </c>
      <c r="C99">
        <v>2005</v>
      </c>
      <c r="D99">
        <v>8</v>
      </c>
      <c r="E99">
        <v>0</v>
      </c>
      <c r="F99" t="s">
        <v>14</v>
      </c>
      <c r="P99" t="s">
        <v>42</v>
      </c>
      <c r="Q99" t="s">
        <v>43</v>
      </c>
      <c r="R99" t="s">
        <v>25</v>
      </c>
      <c r="S99">
        <v>13</v>
      </c>
      <c r="T99">
        <v>3</v>
      </c>
      <c r="U99" t="s">
        <v>29</v>
      </c>
      <c r="V99" t="s">
        <v>30</v>
      </c>
    </row>
    <row r="100" spans="1:22" x14ac:dyDescent="0.2">
      <c r="A100" t="s">
        <v>42</v>
      </c>
      <c r="B100" t="s">
        <v>43</v>
      </c>
      <c r="C100">
        <v>2005</v>
      </c>
      <c r="D100">
        <v>9</v>
      </c>
      <c r="E100">
        <v>43542</v>
      </c>
      <c r="F100" t="s">
        <v>12</v>
      </c>
    </row>
    <row r="101" spans="1:22" x14ac:dyDescent="0.2">
      <c r="A101" t="s">
        <v>42</v>
      </c>
      <c r="B101" t="s">
        <v>43</v>
      </c>
      <c r="C101">
        <v>2005</v>
      </c>
      <c r="D101">
        <v>10</v>
      </c>
      <c r="E101">
        <v>67192</v>
      </c>
      <c r="F101" t="s">
        <v>13</v>
      </c>
    </row>
    <row r="102" spans="1:22" x14ac:dyDescent="0.2">
      <c r="A102" t="s">
        <v>42</v>
      </c>
      <c r="B102" t="s">
        <v>43</v>
      </c>
      <c r="C102">
        <v>2005</v>
      </c>
      <c r="D102">
        <v>11</v>
      </c>
      <c r="E102">
        <v>63590</v>
      </c>
      <c r="F102" t="s">
        <v>12</v>
      </c>
    </row>
    <row r="103" spans="1:22" x14ac:dyDescent="0.2">
      <c r="A103" t="s">
        <v>42</v>
      </c>
      <c r="B103" t="s">
        <v>43</v>
      </c>
      <c r="C103">
        <v>2005</v>
      </c>
      <c r="D103">
        <v>12</v>
      </c>
      <c r="E103">
        <v>67102</v>
      </c>
      <c r="F103" t="s">
        <v>13</v>
      </c>
    </row>
    <row r="104" spans="1:22" x14ac:dyDescent="0.2">
      <c r="A104" t="s">
        <v>42</v>
      </c>
      <c r="B104" t="s">
        <v>43</v>
      </c>
      <c r="C104">
        <v>2005</v>
      </c>
      <c r="D104">
        <v>13</v>
      </c>
      <c r="E104">
        <v>67637</v>
      </c>
      <c r="F104" t="s">
        <v>12</v>
      </c>
    </row>
    <row r="105" spans="1:22" x14ac:dyDescent="0.2">
      <c r="A105" t="s">
        <v>42</v>
      </c>
      <c r="B105" t="s">
        <v>43</v>
      </c>
      <c r="C105">
        <v>2005</v>
      </c>
      <c r="D105">
        <v>14</v>
      </c>
      <c r="E105">
        <v>66690</v>
      </c>
      <c r="F105" t="s">
        <v>13</v>
      </c>
    </row>
    <row r="106" spans="1:22" x14ac:dyDescent="0.2">
      <c r="A106" t="s">
        <v>42</v>
      </c>
      <c r="B106" t="s">
        <v>43</v>
      </c>
      <c r="C106">
        <v>2005</v>
      </c>
      <c r="D106">
        <v>15</v>
      </c>
      <c r="E106">
        <v>69149</v>
      </c>
      <c r="F106" t="s">
        <v>12</v>
      </c>
    </row>
    <row r="107" spans="1:22" x14ac:dyDescent="0.2">
      <c r="A107" t="s">
        <v>42</v>
      </c>
      <c r="B107" t="s">
        <v>43</v>
      </c>
      <c r="C107">
        <v>2005</v>
      </c>
      <c r="D107">
        <v>16</v>
      </c>
      <c r="E107">
        <v>67855</v>
      </c>
      <c r="F107" t="s">
        <v>13</v>
      </c>
    </row>
    <row r="108" spans="1:22" x14ac:dyDescent="0.2">
      <c r="A108" t="s">
        <v>42</v>
      </c>
      <c r="B108" t="s">
        <v>43</v>
      </c>
      <c r="C108">
        <v>2005</v>
      </c>
      <c r="D108">
        <v>17</v>
      </c>
      <c r="E108">
        <v>69928</v>
      </c>
      <c r="F108" t="s">
        <v>12</v>
      </c>
    </row>
    <row r="109" spans="1:22" x14ac:dyDescent="0.2">
      <c r="A109" t="s">
        <v>0</v>
      </c>
      <c r="B109" t="s">
        <v>1</v>
      </c>
      <c r="C109" t="s">
        <v>2</v>
      </c>
      <c r="D109" t="s">
        <v>3</v>
      </c>
      <c r="E109" t="s">
        <v>4</v>
      </c>
      <c r="G109">
        <f>AVERAGEIF(F92:F108,"home",E92:E108)</f>
        <v>66619.25</v>
      </c>
      <c r="P109" t="s">
        <v>0</v>
      </c>
      <c r="Q109" t="s">
        <v>1</v>
      </c>
      <c r="R109" t="s">
        <v>2</v>
      </c>
      <c r="S109" t="s">
        <v>6</v>
      </c>
      <c r="T109" t="s">
        <v>7</v>
      </c>
      <c r="U109" t="s">
        <v>8</v>
      </c>
      <c r="V109" t="s">
        <v>9</v>
      </c>
    </row>
    <row r="110" spans="1:22" x14ac:dyDescent="0.2">
      <c r="A110" t="s">
        <v>42</v>
      </c>
      <c r="B110" t="s">
        <v>43</v>
      </c>
      <c r="C110">
        <v>2006</v>
      </c>
      <c r="D110">
        <v>1</v>
      </c>
      <c r="E110">
        <v>60535</v>
      </c>
      <c r="F110" t="s">
        <v>12</v>
      </c>
    </row>
    <row r="111" spans="1:22" x14ac:dyDescent="0.2">
      <c r="A111" t="s">
        <v>42</v>
      </c>
      <c r="B111" t="s">
        <v>43</v>
      </c>
      <c r="C111">
        <v>2006</v>
      </c>
      <c r="D111">
        <v>2</v>
      </c>
      <c r="E111">
        <v>67470</v>
      </c>
      <c r="F111" t="s">
        <v>13</v>
      </c>
    </row>
    <row r="112" spans="1:22" x14ac:dyDescent="0.2">
      <c r="A112" t="s">
        <v>42</v>
      </c>
      <c r="B112" t="s">
        <v>43</v>
      </c>
      <c r="C112">
        <v>2006</v>
      </c>
      <c r="D112">
        <v>3</v>
      </c>
      <c r="E112">
        <v>68161</v>
      </c>
      <c r="F112" t="s">
        <v>13</v>
      </c>
    </row>
    <row r="113" spans="1:22" x14ac:dyDescent="0.2">
      <c r="A113" t="s">
        <v>42</v>
      </c>
      <c r="B113" t="s">
        <v>43</v>
      </c>
      <c r="C113">
        <v>2006</v>
      </c>
      <c r="D113">
        <v>4</v>
      </c>
      <c r="E113">
        <v>62225</v>
      </c>
      <c r="F113" t="s">
        <v>12</v>
      </c>
    </row>
    <row r="114" spans="1:22" x14ac:dyDescent="0.2">
      <c r="A114" t="s">
        <v>42</v>
      </c>
      <c r="B114" t="s">
        <v>43</v>
      </c>
      <c r="C114">
        <v>2006</v>
      </c>
      <c r="D114">
        <v>5</v>
      </c>
      <c r="E114">
        <v>0</v>
      </c>
      <c r="F114" t="s">
        <v>14</v>
      </c>
    </row>
    <row r="115" spans="1:22" x14ac:dyDescent="0.2">
      <c r="A115" t="s">
        <v>42</v>
      </c>
      <c r="B115" t="s">
        <v>43</v>
      </c>
      <c r="C115">
        <v>2006</v>
      </c>
      <c r="D115">
        <v>6</v>
      </c>
      <c r="E115">
        <v>65592</v>
      </c>
      <c r="F115" t="s">
        <v>12</v>
      </c>
    </row>
    <row r="116" spans="1:22" x14ac:dyDescent="0.2">
      <c r="A116" t="s">
        <v>42</v>
      </c>
      <c r="B116" t="s">
        <v>43</v>
      </c>
      <c r="C116">
        <v>2006</v>
      </c>
      <c r="D116">
        <v>7</v>
      </c>
      <c r="E116">
        <v>68118</v>
      </c>
      <c r="F116" t="s">
        <v>13</v>
      </c>
    </row>
    <row r="117" spans="1:22" x14ac:dyDescent="0.2">
      <c r="A117" t="s">
        <v>42</v>
      </c>
      <c r="B117" t="s">
        <v>43</v>
      </c>
      <c r="C117">
        <v>2006</v>
      </c>
      <c r="D117">
        <v>8</v>
      </c>
      <c r="E117">
        <v>77645</v>
      </c>
      <c r="F117" t="s">
        <v>12</v>
      </c>
      <c r="P117" t="s">
        <v>42</v>
      </c>
      <c r="Q117" t="s">
        <v>43</v>
      </c>
      <c r="R117" t="s">
        <v>26</v>
      </c>
      <c r="S117">
        <v>9</v>
      </c>
      <c r="T117">
        <v>7</v>
      </c>
      <c r="U117" t="s">
        <v>29</v>
      </c>
      <c r="V117" t="s">
        <v>18</v>
      </c>
    </row>
    <row r="118" spans="1:22" x14ac:dyDescent="0.2">
      <c r="A118" t="s">
        <v>42</v>
      </c>
      <c r="B118" t="s">
        <v>43</v>
      </c>
      <c r="C118">
        <v>2006</v>
      </c>
      <c r="D118">
        <v>9</v>
      </c>
      <c r="E118">
        <v>67816</v>
      </c>
      <c r="F118" t="s">
        <v>13</v>
      </c>
    </row>
    <row r="119" spans="1:22" x14ac:dyDescent="0.2">
      <c r="A119" t="s">
        <v>42</v>
      </c>
      <c r="B119" t="s">
        <v>43</v>
      </c>
      <c r="C119">
        <v>2006</v>
      </c>
      <c r="D119">
        <v>10</v>
      </c>
      <c r="E119">
        <v>68175</v>
      </c>
      <c r="F119" t="s">
        <v>13</v>
      </c>
    </row>
    <row r="120" spans="1:22" x14ac:dyDescent="0.2">
      <c r="A120" t="s">
        <v>42</v>
      </c>
      <c r="B120" t="s">
        <v>43</v>
      </c>
      <c r="C120">
        <v>2006</v>
      </c>
      <c r="D120">
        <v>11</v>
      </c>
      <c r="E120">
        <v>68367</v>
      </c>
      <c r="F120" t="s">
        <v>12</v>
      </c>
    </row>
    <row r="121" spans="1:22" x14ac:dyDescent="0.2">
      <c r="A121" t="s">
        <v>42</v>
      </c>
      <c r="B121" t="s">
        <v>43</v>
      </c>
      <c r="C121">
        <v>2006</v>
      </c>
      <c r="D121">
        <v>12</v>
      </c>
      <c r="E121">
        <v>68256</v>
      </c>
      <c r="F121" t="s">
        <v>13</v>
      </c>
    </row>
    <row r="122" spans="1:22" x14ac:dyDescent="0.2">
      <c r="A122" t="s">
        <v>42</v>
      </c>
      <c r="B122" t="s">
        <v>43</v>
      </c>
      <c r="C122">
        <v>2006</v>
      </c>
      <c r="D122">
        <v>13</v>
      </c>
      <c r="E122">
        <v>76146</v>
      </c>
      <c r="F122" t="s">
        <v>12</v>
      </c>
    </row>
    <row r="123" spans="1:22" x14ac:dyDescent="0.2">
      <c r="A123" t="s">
        <v>42</v>
      </c>
      <c r="B123" t="s">
        <v>43</v>
      </c>
      <c r="C123">
        <v>2006</v>
      </c>
      <c r="D123">
        <v>14</v>
      </c>
      <c r="E123">
        <v>63603</v>
      </c>
      <c r="F123" t="s">
        <v>12</v>
      </c>
    </row>
    <row r="124" spans="1:22" x14ac:dyDescent="0.2">
      <c r="A124" t="s">
        <v>42</v>
      </c>
      <c r="B124" t="s">
        <v>43</v>
      </c>
      <c r="C124">
        <v>2006</v>
      </c>
      <c r="D124">
        <v>15</v>
      </c>
      <c r="E124">
        <v>67650</v>
      </c>
      <c r="F124" t="s">
        <v>13</v>
      </c>
    </row>
    <row r="125" spans="1:22" x14ac:dyDescent="0.2">
      <c r="A125" t="s">
        <v>42</v>
      </c>
      <c r="B125" t="s">
        <v>43</v>
      </c>
      <c r="C125">
        <v>2006</v>
      </c>
      <c r="D125">
        <v>16</v>
      </c>
      <c r="E125">
        <v>68174</v>
      </c>
      <c r="F125" t="s">
        <v>13</v>
      </c>
    </row>
    <row r="126" spans="1:22" x14ac:dyDescent="0.2">
      <c r="A126" t="s">
        <v>42</v>
      </c>
      <c r="B126" t="s">
        <v>43</v>
      </c>
      <c r="C126">
        <v>2006</v>
      </c>
      <c r="D126">
        <v>17</v>
      </c>
      <c r="E126">
        <v>65660</v>
      </c>
      <c r="F126" t="s">
        <v>12</v>
      </c>
    </row>
    <row r="127" spans="1:22" x14ac:dyDescent="0.2">
      <c r="A127" t="s">
        <v>0</v>
      </c>
      <c r="B127" t="s">
        <v>1</v>
      </c>
      <c r="C127" t="s">
        <v>2</v>
      </c>
      <c r="D127" t="s">
        <v>3</v>
      </c>
      <c r="E127" t="s">
        <v>4</v>
      </c>
      <c r="G127">
        <f>AVERAGEIF(F110:F126,"home",E110:E126)</f>
        <v>67977.5</v>
      </c>
      <c r="P127" t="s">
        <v>0</v>
      </c>
      <c r="Q127" t="s">
        <v>1</v>
      </c>
      <c r="R127" t="s">
        <v>2</v>
      </c>
      <c r="S127" t="s">
        <v>6</v>
      </c>
      <c r="T127" t="s">
        <v>7</v>
      </c>
      <c r="U127" t="s">
        <v>8</v>
      </c>
      <c r="V127" t="s">
        <v>9</v>
      </c>
    </row>
    <row r="128" spans="1:22" x14ac:dyDescent="0.2">
      <c r="A128" t="s">
        <v>42</v>
      </c>
      <c r="B128" t="s">
        <v>43</v>
      </c>
      <c r="C128">
        <v>2007</v>
      </c>
      <c r="D128">
        <v>1</v>
      </c>
      <c r="E128">
        <v>68044</v>
      </c>
      <c r="F128" t="s">
        <v>13</v>
      </c>
    </row>
    <row r="129" spans="1:22" x14ac:dyDescent="0.2">
      <c r="A129" t="s">
        <v>42</v>
      </c>
      <c r="B129" t="s">
        <v>43</v>
      </c>
      <c r="C129">
        <v>2007</v>
      </c>
      <c r="D129">
        <v>2</v>
      </c>
      <c r="E129">
        <v>64542</v>
      </c>
      <c r="F129" t="s">
        <v>12</v>
      </c>
    </row>
    <row r="130" spans="1:22" x14ac:dyDescent="0.2">
      <c r="A130" t="s">
        <v>42</v>
      </c>
      <c r="B130" t="s">
        <v>43</v>
      </c>
      <c r="C130">
        <v>2007</v>
      </c>
      <c r="D130">
        <v>3</v>
      </c>
      <c r="E130">
        <v>68110</v>
      </c>
      <c r="F130" t="s">
        <v>13</v>
      </c>
    </row>
    <row r="131" spans="1:22" x14ac:dyDescent="0.2">
      <c r="A131" t="s">
        <v>42</v>
      </c>
      <c r="B131" t="s">
        <v>43</v>
      </c>
      <c r="C131">
        <v>2007</v>
      </c>
      <c r="D131">
        <v>4</v>
      </c>
      <c r="E131">
        <v>67651</v>
      </c>
      <c r="F131" t="s">
        <v>12</v>
      </c>
    </row>
    <row r="132" spans="1:22" x14ac:dyDescent="0.2">
      <c r="A132" t="s">
        <v>42</v>
      </c>
      <c r="B132" t="s">
        <v>43</v>
      </c>
      <c r="C132">
        <v>2007</v>
      </c>
      <c r="D132">
        <v>5</v>
      </c>
      <c r="E132">
        <v>64478</v>
      </c>
      <c r="F132" t="s">
        <v>12</v>
      </c>
    </row>
    <row r="133" spans="1:22" x14ac:dyDescent="0.2">
      <c r="A133" t="s">
        <v>42</v>
      </c>
      <c r="B133" t="s">
        <v>43</v>
      </c>
      <c r="C133">
        <v>2007</v>
      </c>
      <c r="D133">
        <v>6</v>
      </c>
      <c r="E133">
        <v>68296</v>
      </c>
      <c r="F133" t="s">
        <v>13</v>
      </c>
    </row>
    <row r="134" spans="1:22" x14ac:dyDescent="0.2">
      <c r="A134" t="s">
        <v>42</v>
      </c>
      <c r="B134" t="s">
        <v>43</v>
      </c>
      <c r="C134">
        <v>2007</v>
      </c>
      <c r="D134">
        <v>7</v>
      </c>
      <c r="E134">
        <v>68164</v>
      </c>
      <c r="F134" t="s">
        <v>13</v>
      </c>
    </row>
    <row r="135" spans="1:22" x14ac:dyDescent="0.2">
      <c r="A135" t="s">
        <v>42</v>
      </c>
      <c r="B135" t="s">
        <v>43</v>
      </c>
      <c r="C135">
        <v>2007</v>
      </c>
      <c r="D135">
        <v>8</v>
      </c>
      <c r="E135">
        <v>0</v>
      </c>
      <c r="F135" t="s">
        <v>14</v>
      </c>
      <c r="P135" t="s">
        <v>42</v>
      </c>
      <c r="Q135" t="s">
        <v>43</v>
      </c>
      <c r="R135" t="s">
        <v>27</v>
      </c>
      <c r="S135">
        <v>10</v>
      </c>
      <c r="T135">
        <v>6</v>
      </c>
      <c r="U135" t="s">
        <v>29</v>
      </c>
      <c r="V135" t="s">
        <v>18</v>
      </c>
    </row>
    <row r="136" spans="1:22" x14ac:dyDescent="0.2">
      <c r="A136" t="s">
        <v>42</v>
      </c>
      <c r="B136" t="s">
        <v>43</v>
      </c>
      <c r="C136">
        <v>2007</v>
      </c>
      <c r="D136">
        <v>9</v>
      </c>
      <c r="E136">
        <v>72927</v>
      </c>
      <c r="F136" t="s">
        <v>12</v>
      </c>
    </row>
    <row r="137" spans="1:22" x14ac:dyDescent="0.2">
      <c r="A137" t="s">
        <v>42</v>
      </c>
      <c r="B137" t="s">
        <v>43</v>
      </c>
      <c r="C137">
        <v>2007</v>
      </c>
      <c r="D137">
        <v>10</v>
      </c>
      <c r="E137">
        <v>68331</v>
      </c>
      <c r="F137" t="s">
        <v>13</v>
      </c>
    </row>
    <row r="138" spans="1:22" x14ac:dyDescent="0.2">
      <c r="A138" t="s">
        <v>42</v>
      </c>
      <c r="B138" t="s">
        <v>43</v>
      </c>
      <c r="C138">
        <v>2007</v>
      </c>
      <c r="D138">
        <v>11</v>
      </c>
      <c r="E138">
        <v>68249</v>
      </c>
      <c r="F138" t="s">
        <v>13</v>
      </c>
    </row>
    <row r="139" spans="1:22" x14ac:dyDescent="0.2">
      <c r="A139" t="s">
        <v>42</v>
      </c>
      <c r="B139" t="s">
        <v>43</v>
      </c>
      <c r="C139">
        <v>2007</v>
      </c>
      <c r="D139">
        <v>12</v>
      </c>
      <c r="E139">
        <v>65423</v>
      </c>
      <c r="F139" t="s">
        <v>12</v>
      </c>
    </row>
    <row r="140" spans="1:22" x14ac:dyDescent="0.2">
      <c r="A140" t="s">
        <v>42</v>
      </c>
      <c r="B140" t="s">
        <v>43</v>
      </c>
      <c r="C140">
        <v>2007</v>
      </c>
      <c r="D140">
        <v>13</v>
      </c>
      <c r="E140">
        <v>68445</v>
      </c>
      <c r="F140" t="s">
        <v>12</v>
      </c>
    </row>
    <row r="141" spans="1:22" x14ac:dyDescent="0.2">
      <c r="A141" t="s">
        <v>42</v>
      </c>
      <c r="B141" t="s">
        <v>43</v>
      </c>
      <c r="C141">
        <v>2007</v>
      </c>
      <c r="D141">
        <v>14</v>
      </c>
      <c r="E141">
        <v>68193</v>
      </c>
      <c r="F141" t="s">
        <v>13</v>
      </c>
    </row>
    <row r="142" spans="1:22" x14ac:dyDescent="0.2">
      <c r="A142" t="s">
        <v>42</v>
      </c>
      <c r="B142" t="s">
        <v>43</v>
      </c>
      <c r="C142">
        <v>2007</v>
      </c>
      <c r="D142">
        <v>15</v>
      </c>
      <c r="E142">
        <v>73421</v>
      </c>
      <c r="F142" t="s">
        <v>12</v>
      </c>
    </row>
    <row r="143" spans="1:22" x14ac:dyDescent="0.2">
      <c r="A143" t="s">
        <v>42</v>
      </c>
      <c r="B143" t="s">
        <v>43</v>
      </c>
      <c r="C143">
        <v>2007</v>
      </c>
      <c r="D143">
        <v>16</v>
      </c>
      <c r="E143">
        <v>68164</v>
      </c>
      <c r="F143" t="s">
        <v>13</v>
      </c>
    </row>
    <row r="144" spans="1:22" x14ac:dyDescent="0.2">
      <c r="A144" t="s">
        <v>42</v>
      </c>
      <c r="B144" t="s">
        <v>43</v>
      </c>
      <c r="C144">
        <v>2007</v>
      </c>
      <c r="D144">
        <v>17</v>
      </c>
      <c r="E144">
        <v>64925</v>
      </c>
      <c r="F144" t="s">
        <v>12</v>
      </c>
    </row>
    <row r="145" spans="1:22" x14ac:dyDescent="0.2">
      <c r="A145" t="s">
        <v>0</v>
      </c>
      <c r="B145" t="s">
        <v>1</v>
      </c>
      <c r="C145" t="s">
        <v>2</v>
      </c>
      <c r="D145" t="s">
        <v>3</v>
      </c>
      <c r="E145" t="s">
        <v>4</v>
      </c>
      <c r="G145">
        <f>AVERAGEIF(F128:F144,"home",E128:E144)</f>
        <v>68193.875</v>
      </c>
      <c r="P145" t="s">
        <v>0</v>
      </c>
      <c r="Q145" t="s">
        <v>1</v>
      </c>
      <c r="R145" t="s">
        <v>2</v>
      </c>
      <c r="S145" t="s">
        <v>6</v>
      </c>
      <c r="T145" t="s">
        <v>7</v>
      </c>
      <c r="U145" t="s">
        <v>8</v>
      </c>
      <c r="V145" t="s">
        <v>9</v>
      </c>
    </row>
    <row r="146" spans="1:22" x14ac:dyDescent="0.2">
      <c r="A146" t="s">
        <v>42</v>
      </c>
      <c r="B146" t="s">
        <v>43</v>
      </c>
      <c r="C146">
        <v>2008</v>
      </c>
      <c r="D146">
        <v>1</v>
      </c>
      <c r="E146">
        <v>71194</v>
      </c>
      <c r="F146" t="s">
        <v>12</v>
      </c>
    </row>
    <row r="147" spans="1:22" x14ac:dyDescent="0.2">
      <c r="A147" t="s">
        <v>42</v>
      </c>
      <c r="B147" t="s">
        <v>43</v>
      </c>
      <c r="C147">
        <v>2008</v>
      </c>
      <c r="D147">
        <v>2</v>
      </c>
      <c r="E147">
        <v>67951</v>
      </c>
      <c r="F147" t="s">
        <v>13</v>
      </c>
    </row>
    <row r="148" spans="1:22" x14ac:dyDescent="0.2">
      <c r="A148" t="s">
        <v>42</v>
      </c>
      <c r="B148" t="s">
        <v>43</v>
      </c>
      <c r="C148">
        <v>2008</v>
      </c>
      <c r="D148">
        <v>3</v>
      </c>
      <c r="E148">
        <v>68012</v>
      </c>
      <c r="F148" t="s">
        <v>13</v>
      </c>
    </row>
    <row r="149" spans="1:22" x14ac:dyDescent="0.2">
      <c r="A149" t="s">
        <v>42</v>
      </c>
      <c r="B149" t="s">
        <v>43</v>
      </c>
      <c r="C149">
        <v>2008</v>
      </c>
      <c r="D149">
        <v>4</v>
      </c>
      <c r="E149">
        <v>0</v>
      </c>
      <c r="F149" t="s">
        <v>14</v>
      </c>
    </row>
    <row r="150" spans="1:22" x14ac:dyDescent="0.2">
      <c r="A150" t="s">
        <v>42</v>
      </c>
      <c r="B150" t="s">
        <v>43</v>
      </c>
      <c r="C150">
        <v>2008</v>
      </c>
      <c r="D150">
        <v>5</v>
      </c>
      <c r="E150">
        <v>79529</v>
      </c>
      <c r="F150" t="s">
        <v>12</v>
      </c>
    </row>
    <row r="151" spans="1:22" x14ac:dyDescent="0.2">
      <c r="A151" t="s">
        <v>42</v>
      </c>
      <c r="B151" t="s">
        <v>43</v>
      </c>
      <c r="C151">
        <v>2008</v>
      </c>
      <c r="D151">
        <v>6</v>
      </c>
      <c r="E151">
        <v>68302</v>
      </c>
      <c r="F151" t="s">
        <v>13</v>
      </c>
    </row>
    <row r="152" spans="1:22" x14ac:dyDescent="0.2">
      <c r="A152" t="s">
        <v>42</v>
      </c>
      <c r="B152" t="s">
        <v>43</v>
      </c>
      <c r="C152">
        <v>2008</v>
      </c>
      <c r="D152">
        <v>7</v>
      </c>
      <c r="E152">
        <v>64811</v>
      </c>
      <c r="F152" t="s">
        <v>12</v>
      </c>
    </row>
    <row r="153" spans="1:22" x14ac:dyDescent="0.2">
      <c r="A153" t="s">
        <v>42</v>
      </c>
      <c r="B153" t="s">
        <v>43</v>
      </c>
      <c r="C153">
        <v>2008</v>
      </c>
      <c r="D153">
        <v>8</v>
      </c>
      <c r="E153">
        <v>67504</v>
      </c>
      <c r="F153" t="s">
        <v>12</v>
      </c>
      <c r="P153" t="s">
        <v>42</v>
      </c>
      <c r="Q153" t="s">
        <v>43</v>
      </c>
      <c r="R153" t="s">
        <v>28</v>
      </c>
      <c r="S153">
        <v>4</v>
      </c>
      <c r="T153">
        <v>12</v>
      </c>
      <c r="U153" t="s">
        <v>17</v>
      </c>
      <c r="V153" t="s">
        <v>18</v>
      </c>
    </row>
    <row r="154" spans="1:22" x14ac:dyDescent="0.2">
      <c r="A154" t="s">
        <v>42</v>
      </c>
      <c r="B154" t="s">
        <v>43</v>
      </c>
      <c r="C154">
        <v>2008</v>
      </c>
      <c r="D154">
        <v>9</v>
      </c>
      <c r="E154">
        <v>68055</v>
      </c>
      <c r="F154" t="s">
        <v>13</v>
      </c>
    </row>
    <row r="155" spans="1:22" x14ac:dyDescent="0.2">
      <c r="A155" t="s">
        <v>42</v>
      </c>
      <c r="B155" t="s">
        <v>43</v>
      </c>
      <c r="C155">
        <v>2008</v>
      </c>
      <c r="D155">
        <v>10</v>
      </c>
      <c r="E155">
        <v>64862</v>
      </c>
      <c r="F155" t="s">
        <v>12</v>
      </c>
    </row>
    <row r="156" spans="1:22" x14ac:dyDescent="0.2">
      <c r="A156" t="s">
        <v>42</v>
      </c>
      <c r="B156" t="s">
        <v>43</v>
      </c>
      <c r="C156">
        <v>2008</v>
      </c>
      <c r="D156">
        <v>11</v>
      </c>
      <c r="E156">
        <v>67616</v>
      </c>
      <c r="F156" t="s">
        <v>13</v>
      </c>
    </row>
    <row r="157" spans="1:22" x14ac:dyDescent="0.2">
      <c r="A157" t="s">
        <v>42</v>
      </c>
      <c r="B157" t="s">
        <v>43</v>
      </c>
      <c r="C157">
        <v>2008</v>
      </c>
      <c r="D157">
        <v>12</v>
      </c>
      <c r="E157">
        <v>67771</v>
      </c>
      <c r="F157" t="s">
        <v>13</v>
      </c>
    </row>
    <row r="158" spans="1:22" x14ac:dyDescent="0.2">
      <c r="A158" t="s">
        <v>42</v>
      </c>
      <c r="B158" t="s">
        <v>43</v>
      </c>
      <c r="C158">
        <v>2008</v>
      </c>
      <c r="D158">
        <v>13</v>
      </c>
      <c r="E158">
        <v>63253</v>
      </c>
      <c r="F158" t="s">
        <v>12</v>
      </c>
    </row>
    <row r="159" spans="1:22" x14ac:dyDescent="0.2">
      <c r="A159" t="s">
        <v>42</v>
      </c>
      <c r="B159" t="s">
        <v>43</v>
      </c>
      <c r="C159">
        <v>2008</v>
      </c>
      <c r="D159">
        <v>14</v>
      </c>
      <c r="E159">
        <v>68077</v>
      </c>
      <c r="F159" t="s">
        <v>13</v>
      </c>
    </row>
    <row r="160" spans="1:22" x14ac:dyDescent="0.2">
      <c r="A160" t="s">
        <v>42</v>
      </c>
      <c r="B160" t="s">
        <v>43</v>
      </c>
      <c r="C160">
        <v>2008</v>
      </c>
      <c r="D160">
        <v>15</v>
      </c>
      <c r="E160">
        <v>56123</v>
      </c>
      <c r="F160" t="s">
        <v>12</v>
      </c>
    </row>
    <row r="161" spans="1:22" x14ac:dyDescent="0.2">
      <c r="A161" t="s">
        <v>42</v>
      </c>
      <c r="B161" t="s">
        <v>43</v>
      </c>
      <c r="C161">
        <v>2008</v>
      </c>
      <c r="D161">
        <v>16</v>
      </c>
      <c r="E161">
        <v>68181</v>
      </c>
      <c r="F161" t="s">
        <v>13</v>
      </c>
    </row>
    <row r="162" spans="1:22" x14ac:dyDescent="0.2">
      <c r="A162" t="s">
        <v>42</v>
      </c>
      <c r="B162" t="s">
        <v>43</v>
      </c>
      <c r="C162">
        <v>2008</v>
      </c>
      <c r="D162">
        <v>17</v>
      </c>
      <c r="E162">
        <v>63874</v>
      </c>
      <c r="F162" t="s">
        <v>12</v>
      </c>
    </row>
    <row r="163" spans="1:22" x14ac:dyDescent="0.2">
      <c r="A163" t="s">
        <v>0</v>
      </c>
      <c r="B163" t="s">
        <v>1</v>
      </c>
      <c r="C163" t="s">
        <v>2</v>
      </c>
      <c r="D163" t="s">
        <v>3</v>
      </c>
      <c r="E163" t="s">
        <v>4</v>
      </c>
      <c r="G163">
        <f>AVERAGEIF(F146:F162,"home",E146:E162)</f>
        <v>67995.625</v>
      </c>
      <c r="P163" t="s">
        <v>0</v>
      </c>
      <c r="Q163" t="s">
        <v>1</v>
      </c>
      <c r="R163" t="s">
        <v>2</v>
      </c>
      <c r="S163" t="s">
        <v>6</v>
      </c>
      <c r="T163" t="s">
        <v>7</v>
      </c>
      <c r="U163" t="s">
        <v>8</v>
      </c>
      <c r="V163" t="s">
        <v>9</v>
      </c>
    </row>
    <row r="164" spans="1:22" x14ac:dyDescent="0.2">
      <c r="A164" t="s">
        <v>42</v>
      </c>
      <c r="B164" t="s">
        <v>43</v>
      </c>
      <c r="C164">
        <v>2009</v>
      </c>
      <c r="D164">
        <v>1</v>
      </c>
      <c r="E164">
        <v>67610</v>
      </c>
      <c r="F164" t="s">
        <v>13</v>
      </c>
    </row>
    <row r="165" spans="1:22" x14ac:dyDescent="0.2">
      <c r="A165" t="s">
        <v>42</v>
      </c>
      <c r="B165" t="s">
        <v>43</v>
      </c>
      <c r="C165">
        <v>2009</v>
      </c>
      <c r="D165">
        <v>2</v>
      </c>
      <c r="E165">
        <v>69732</v>
      </c>
      <c r="F165" t="s">
        <v>12</v>
      </c>
    </row>
    <row r="166" spans="1:22" x14ac:dyDescent="0.2">
      <c r="A166" t="s">
        <v>42</v>
      </c>
      <c r="B166" t="s">
        <v>43</v>
      </c>
      <c r="C166">
        <v>2009</v>
      </c>
      <c r="D166">
        <v>3</v>
      </c>
      <c r="E166">
        <v>67938</v>
      </c>
      <c r="F166" t="s">
        <v>13</v>
      </c>
    </row>
    <row r="167" spans="1:22" x14ac:dyDescent="0.2">
      <c r="A167" t="s">
        <v>42</v>
      </c>
      <c r="B167" t="s">
        <v>43</v>
      </c>
      <c r="C167">
        <v>2009</v>
      </c>
      <c r="D167">
        <v>4</v>
      </c>
      <c r="E167">
        <v>66112</v>
      </c>
      <c r="F167" t="s">
        <v>12</v>
      </c>
    </row>
    <row r="168" spans="1:22" x14ac:dyDescent="0.2">
      <c r="A168" t="s">
        <v>42</v>
      </c>
      <c r="B168" t="s">
        <v>43</v>
      </c>
      <c r="C168">
        <v>2009</v>
      </c>
      <c r="D168">
        <v>5</v>
      </c>
      <c r="E168">
        <v>67228</v>
      </c>
      <c r="F168" t="s">
        <v>13</v>
      </c>
    </row>
    <row r="169" spans="1:22" x14ac:dyDescent="0.2">
      <c r="A169" t="s">
        <v>42</v>
      </c>
      <c r="B169" t="s">
        <v>43</v>
      </c>
      <c r="C169">
        <v>2009</v>
      </c>
      <c r="D169">
        <v>6</v>
      </c>
      <c r="E169">
        <v>67588</v>
      </c>
      <c r="F169" t="s">
        <v>13</v>
      </c>
    </row>
    <row r="170" spans="1:22" x14ac:dyDescent="0.2">
      <c r="A170" t="s">
        <v>42</v>
      </c>
      <c r="B170" t="s">
        <v>43</v>
      </c>
      <c r="C170">
        <v>2009</v>
      </c>
      <c r="D170">
        <v>7</v>
      </c>
      <c r="E170">
        <v>0</v>
      </c>
      <c r="F170" t="s">
        <v>14</v>
      </c>
    </row>
    <row r="171" spans="1:22" x14ac:dyDescent="0.2">
      <c r="A171" t="s">
        <v>42</v>
      </c>
      <c r="B171" t="s">
        <v>43</v>
      </c>
      <c r="C171">
        <v>2009</v>
      </c>
      <c r="D171">
        <v>8</v>
      </c>
      <c r="E171">
        <v>80886</v>
      </c>
      <c r="F171" t="s">
        <v>12</v>
      </c>
      <c r="P171" t="s">
        <v>42</v>
      </c>
      <c r="Q171" t="s">
        <v>43</v>
      </c>
      <c r="R171" t="s">
        <v>31</v>
      </c>
      <c r="S171">
        <v>5</v>
      </c>
      <c r="T171">
        <v>11</v>
      </c>
      <c r="U171" t="s">
        <v>17</v>
      </c>
      <c r="V171" t="s">
        <v>18</v>
      </c>
    </row>
    <row r="172" spans="1:22" x14ac:dyDescent="0.2">
      <c r="A172" t="s">
        <v>42</v>
      </c>
      <c r="B172" t="s">
        <v>43</v>
      </c>
      <c r="C172">
        <v>2009</v>
      </c>
      <c r="D172">
        <v>9</v>
      </c>
      <c r="E172">
        <v>67003</v>
      </c>
      <c r="F172" t="s">
        <v>13</v>
      </c>
    </row>
    <row r="173" spans="1:22" x14ac:dyDescent="0.2">
      <c r="A173" t="s">
        <v>42</v>
      </c>
      <c r="B173" t="s">
        <v>43</v>
      </c>
      <c r="C173">
        <v>2009</v>
      </c>
      <c r="D173">
        <v>10</v>
      </c>
      <c r="E173">
        <v>62278</v>
      </c>
      <c r="F173" t="s">
        <v>12</v>
      </c>
    </row>
    <row r="174" spans="1:22" x14ac:dyDescent="0.2">
      <c r="A174" t="s">
        <v>42</v>
      </c>
      <c r="B174" t="s">
        <v>43</v>
      </c>
      <c r="C174">
        <v>2009</v>
      </c>
      <c r="D174">
        <v>11</v>
      </c>
      <c r="E174">
        <v>63854</v>
      </c>
      <c r="F174" t="s">
        <v>12</v>
      </c>
    </row>
    <row r="175" spans="1:22" x14ac:dyDescent="0.2">
      <c r="A175" t="s">
        <v>42</v>
      </c>
      <c r="B175" t="s">
        <v>43</v>
      </c>
      <c r="C175">
        <v>2009</v>
      </c>
      <c r="D175">
        <v>12</v>
      </c>
      <c r="E175">
        <v>47475</v>
      </c>
      <c r="F175" t="s">
        <v>12</v>
      </c>
    </row>
    <row r="176" spans="1:22" x14ac:dyDescent="0.2">
      <c r="A176" t="s">
        <v>42</v>
      </c>
      <c r="B176" t="s">
        <v>43</v>
      </c>
      <c r="C176">
        <v>2009</v>
      </c>
      <c r="D176">
        <v>13</v>
      </c>
      <c r="E176">
        <v>67761</v>
      </c>
      <c r="F176" t="s">
        <v>13</v>
      </c>
    </row>
    <row r="177" spans="1:22" x14ac:dyDescent="0.2">
      <c r="A177" t="s">
        <v>42</v>
      </c>
      <c r="B177" t="s">
        <v>43</v>
      </c>
      <c r="C177">
        <v>2009</v>
      </c>
      <c r="D177">
        <v>14</v>
      </c>
      <c r="E177">
        <v>70380</v>
      </c>
      <c r="F177" t="s">
        <v>12</v>
      </c>
    </row>
    <row r="178" spans="1:22" x14ac:dyDescent="0.2">
      <c r="A178" t="s">
        <v>42</v>
      </c>
      <c r="B178" t="s">
        <v>43</v>
      </c>
      <c r="C178">
        <v>2009</v>
      </c>
      <c r="D178">
        <v>15</v>
      </c>
      <c r="E178">
        <v>67011</v>
      </c>
      <c r="F178" t="s">
        <v>13</v>
      </c>
    </row>
    <row r="179" spans="1:22" x14ac:dyDescent="0.2">
      <c r="A179" t="s">
        <v>42</v>
      </c>
      <c r="B179" t="s">
        <v>43</v>
      </c>
      <c r="C179">
        <v>2009</v>
      </c>
      <c r="D179">
        <v>16</v>
      </c>
      <c r="E179">
        <v>70429</v>
      </c>
      <c r="F179" t="s">
        <v>12</v>
      </c>
    </row>
    <row r="180" spans="1:22" x14ac:dyDescent="0.2">
      <c r="A180" t="s">
        <v>42</v>
      </c>
      <c r="B180" t="s">
        <v>43</v>
      </c>
      <c r="C180">
        <v>2009</v>
      </c>
      <c r="D180">
        <v>17</v>
      </c>
      <c r="E180">
        <v>67002</v>
      </c>
      <c r="F180" t="s">
        <v>13</v>
      </c>
    </row>
    <row r="181" spans="1:22" x14ac:dyDescent="0.2">
      <c r="A181" t="s">
        <v>0</v>
      </c>
      <c r="B181" t="s">
        <v>1</v>
      </c>
      <c r="C181" t="s">
        <v>2</v>
      </c>
      <c r="D181" t="s">
        <v>3</v>
      </c>
      <c r="E181" t="s">
        <v>4</v>
      </c>
      <c r="G181">
        <f>AVERAGEIF(F164:F180,"home",E164:E180)</f>
        <v>67392.625</v>
      </c>
      <c r="P181" t="s">
        <v>0</v>
      </c>
      <c r="Q181" t="s">
        <v>1</v>
      </c>
      <c r="R181" t="s">
        <v>2</v>
      </c>
      <c r="S181" t="s">
        <v>6</v>
      </c>
      <c r="T181" t="s">
        <v>7</v>
      </c>
      <c r="U181" t="s">
        <v>8</v>
      </c>
      <c r="V181" t="s">
        <v>9</v>
      </c>
    </row>
    <row r="182" spans="1:22" x14ac:dyDescent="0.2">
      <c r="A182" t="s">
        <v>42</v>
      </c>
      <c r="B182" t="s">
        <v>43</v>
      </c>
      <c r="C182">
        <v>2010</v>
      </c>
      <c r="D182">
        <v>1</v>
      </c>
      <c r="E182">
        <v>67044</v>
      </c>
      <c r="F182" t="s">
        <v>15</v>
      </c>
    </row>
    <row r="183" spans="1:22" x14ac:dyDescent="0.2">
      <c r="A183" t="s">
        <v>42</v>
      </c>
      <c r="B183" t="s">
        <v>43</v>
      </c>
      <c r="C183">
        <v>2010</v>
      </c>
      <c r="D183">
        <v>2</v>
      </c>
      <c r="E183">
        <v>75130</v>
      </c>
      <c r="F183" t="s">
        <v>44</v>
      </c>
    </row>
    <row r="184" spans="1:22" x14ac:dyDescent="0.2">
      <c r="A184" t="s">
        <v>42</v>
      </c>
      <c r="B184" t="s">
        <v>43</v>
      </c>
      <c r="C184">
        <v>2010</v>
      </c>
      <c r="D184">
        <v>3</v>
      </c>
      <c r="E184">
        <v>67106</v>
      </c>
      <c r="F184" t="s">
        <v>15</v>
      </c>
    </row>
    <row r="185" spans="1:22" x14ac:dyDescent="0.2">
      <c r="A185" t="s">
        <v>42</v>
      </c>
      <c r="B185" t="s">
        <v>43</v>
      </c>
      <c r="C185">
        <v>2010</v>
      </c>
      <c r="D185">
        <v>4</v>
      </c>
      <c r="E185">
        <v>52326</v>
      </c>
      <c r="F185" t="s">
        <v>44</v>
      </c>
    </row>
    <row r="186" spans="1:22" x14ac:dyDescent="0.2">
      <c r="A186" t="s">
        <v>42</v>
      </c>
      <c r="B186" t="s">
        <v>43</v>
      </c>
      <c r="C186">
        <v>2010</v>
      </c>
      <c r="D186">
        <v>5</v>
      </c>
      <c r="E186">
        <v>0</v>
      </c>
      <c r="F186" t="s">
        <v>14</v>
      </c>
    </row>
    <row r="187" spans="1:22" x14ac:dyDescent="0.2">
      <c r="A187" t="s">
        <v>42</v>
      </c>
      <c r="B187" t="s">
        <v>43</v>
      </c>
      <c r="C187">
        <v>2010</v>
      </c>
      <c r="D187">
        <v>6</v>
      </c>
      <c r="E187">
        <v>62137</v>
      </c>
      <c r="F187" t="s">
        <v>12</v>
      </c>
    </row>
    <row r="188" spans="1:22" x14ac:dyDescent="0.2">
      <c r="A188" t="s">
        <v>42</v>
      </c>
      <c r="B188" t="s">
        <v>43</v>
      </c>
      <c r="C188">
        <v>2010</v>
      </c>
      <c r="D188">
        <v>7</v>
      </c>
      <c r="E188">
        <v>67132</v>
      </c>
      <c r="F188" t="s">
        <v>13</v>
      </c>
    </row>
    <row r="189" spans="1:22" x14ac:dyDescent="0.2">
      <c r="A189" t="s">
        <v>42</v>
      </c>
      <c r="B189" t="s">
        <v>43</v>
      </c>
      <c r="C189">
        <v>2010</v>
      </c>
      <c r="D189">
        <v>8</v>
      </c>
      <c r="E189">
        <v>35721</v>
      </c>
      <c r="F189" t="s">
        <v>12</v>
      </c>
      <c r="P189" t="s">
        <v>42</v>
      </c>
      <c r="Q189" t="s">
        <v>43</v>
      </c>
      <c r="R189" t="s">
        <v>32</v>
      </c>
      <c r="S189">
        <v>7</v>
      </c>
      <c r="T189">
        <v>9</v>
      </c>
      <c r="U189" t="s">
        <v>29</v>
      </c>
      <c r="V189" t="s">
        <v>18</v>
      </c>
    </row>
    <row r="190" spans="1:22" x14ac:dyDescent="0.2">
      <c r="A190" t="s">
        <v>42</v>
      </c>
      <c r="B190" t="s">
        <v>43</v>
      </c>
      <c r="C190">
        <v>2010</v>
      </c>
      <c r="D190">
        <v>9</v>
      </c>
      <c r="E190">
        <v>67287</v>
      </c>
      <c r="F190" t="s">
        <v>13</v>
      </c>
    </row>
    <row r="191" spans="1:22" x14ac:dyDescent="0.2">
      <c r="A191" t="s">
        <v>42</v>
      </c>
      <c r="B191" t="s">
        <v>43</v>
      </c>
      <c r="C191">
        <v>2010</v>
      </c>
      <c r="D191">
        <v>10</v>
      </c>
      <c r="E191">
        <v>61904</v>
      </c>
      <c r="F191" t="s">
        <v>12</v>
      </c>
    </row>
    <row r="192" spans="1:22" x14ac:dyDescent="0.2">
      <c r="A192" t="s">
        <v>42</v>
      </c>
      <c r="B192" t="s">
        <v>43</v>
      </c>
      <c r="C192">
        <v>2010</v>
      </c>
      <c r="D192">
        <v>11</v>
      </c>
      <c r="E192">
        <v>70015</v>
      </c>
      <c r="F192" t="s">
        <v>12</v>
      </c>
    </row>
    <row r="193" spans="1:22" x14ac:dyDescent="0.2">
      <c r="A193" t="s">
        <v>42</v>
      </c>
      <c r="B193" t="s">
        <v>43</v>
      </c>
      <c r="C193">
        <v>2010</v>
      </c>
      <c r="D193">
        <v>12</v>
      </c>
      <c r="E193">
        <v>66370</v>
      </c>
      <c r="F193" t="s">
        <v>13</v>
      </c>
    </row>
    <row r="194" spans="1:22" x14ac:dyDescent="0.2">
      <c r="A194" t="s">
        <v>42</v>
      </c>
      <c r="B194" t="s">
        <v>43</v>
      </c>
      <c r="C194">
        <v>2010</v>
      </c>
      <c r="D194">
        <v>13</v>
      </c>
      <c r="E194">
        <v>66577</v>
      </c>
      <c r="F194" t="s">
        <v>13</v>
      </c>
    </row>
    <row r="195" spans="1:22" x14ac:dyDescent="0.2">
      <c r="A195" t="s">
        <v>42</v>
      </c>
      <c r="B195" t="s">
        <v>43</v>
      </c>
      <c r="C195">
        <v>2010</v>
      </c>
      <c r="D195">
        <v>14</v>
      </c>
      <c r="E195">
        <v>69732</v>
      </c>
      <c r="F195" t="s">
        <v>12</v>
      </c>
    </row>
    <row r="196" spans="1:22" x14ac:dyDescent="0.2">
      <c r="A196" t="s">
        <v>42</v>
      </c>
      <c r="B196" t="s">
        <v>43</v>
      </c>
      <c r="C196">
        <v>2010</v>
      </c>
      <c r="D196">
        <v>15</v>
      </c>
      <c r="E196">
        <v>67101</v>
      </c>
      <c r="F196" t="s">
        <v>13</v>
      </c>
    </row>
    <row r="197" spans="1:22" x14ac:dyDescent="0.2">
      <c r="A197" t="s">
        <v>42</v>
      </c>
      <c r="B197" t="s">
        <v>43</v>
      </c>
      <c r="C197">
        <v>2010</v>
      </c>
      <c r="D197">
        <v>16</v>
      </c>
      <c r="E197">
        <v>46576</v>
      </c>
      <c r="F197" t="s">
        <v>12</v>
      </c>
    </row>
    <row r="198" spans="1:22" x14ac:dyDescent="0.2">
      <c r="A198" t="s">
        <v>42</v>
      </c>
      <c r="B198" t="s">
        <v>43</v>
      </c>
      <c r="C198">
        <v>2010</v>
      </c>
      <c r="D198">
        <v>17</v>
      </c>
      <c r="E198">
        <v>67325</v>
      </c>
      <c r="F198" t="s">
        <v>13</v>
      </c>
    </row>
    <row r="199" spans="1:22" x14ac:dyDescent="0.2">
      <c r="A199" t="s">
        <v>0</v>
      </c>
      <c r="B199" t="s">
        <v>1</v>
      </c>
      <c r="C199" t="s">
        <v>2</v>
      </c>
      <c r="D199" t="s">
        <v>3</v>
      </c>
      <c r="E199" t="s">
        <v>4</v>
      </c>
      <c r="G199">
        <f>AVERAGEIF(F182:F198,"home",E182:E198)</f>
        <v>66992.75</v>
      </c>
      <c r="P199" t="s">
        <v>0</v>
      </c>
      <c r="Q199" t="s">
        <v>1</v>
      </c>
      <c r="R199" t="s">
        <v>2</v>
      </c>
      <c r="S199" t="s">
        <v>6</v>
      </c>
      <c r="T199" t="s">
        <v>7</v>
      </c>
      <c r="U199" t="s">
        <v>8</v>
      </c>
      <c r="V199" t="s">
        <v>9</v>
      </c>
    </row>
    <row r="200" spans="1:22" x14ac:dyDescent="0.2">
      <c r="A200" t="s">
        <v>42</v>
      </c>
      <c r="B200" t="s">
        <v>43</v>
      </c>
      <c r="C200">
        <v>2011</v>
      </c>
      <c r="D200">
        <v>1</v>
      </c>
      <c r="E200">
        <v>69732</v>
      </c>
      <c r="F200" t="s">
        <v>12</v>
      </c>
    </row>
    <row r="201" spans="1:22" x14ac:dyDescent="0.2">
      <c r="A201" t="s">
        <v>42</v>
      </c>
      <c r="B201" t="s">
        <v>43</v>
      </c>
      <c r="C201">
        <v>2011</v>
      </c>
      <c r="D201">
        <v>2</v>
      </c>
      <c r="E201">
        <v>63663</v>
      </c>
      <c r="F201" t="s">
        <v>12</v>
      </c>
    </row>
    <row r="202" spans="1:22" x14ac:dyDescent="0.2">
      <c r="A202" t="s">
        <v>42</v>
      </c>
      <c r="B202" t="s">
        <v>43</v>
      </c>
      <c r="C202">
        <v>2011</v>
      </c>
      <c r="D202">
        <v>3</v>
      </c>
      <c r="E202">
        <v>66199</v>
      </c>
      <c r="F202" t="s">
        <v>13</v>
      </c>
    </row>
    <row r="203" spans="1:22" x14ac:dyDescent="0.2">
      <c r="A203" t="s">
        <v>42</v>
      </c>
      <c r="B203" t="s">
        <v>43</v>
      </c>
      <c r="C203">
        <v>2011</v>
      </c>
      <c r="D203">
        <v>4</v>
      </c>
      <c r="E203">
        <v>66266</v>
      </c>
      <c r="F203" t="s">
        <v>13</v>
      </c>
    </row>
    <row r="204" spans="1:22" x14ac:dyDescent="0.2">
      <c r="A204" t="s">
        <v>42</v>
      </c>
      <c r="B204" t="s">
        <v>43</v>
      </c>
      <c r="C204">
        <v>2011</v>
      </c>
      <c r="D204">
        <v>5</v>
      </c>
      <c r="E204">
        <v>78650</v>
      </c>
      <c r="F204" t="s">
        <v>12</v>
      </c>
    </row>
    <row r="205" spans="1:22" x14ac:dyDescent="0.2">
      <c r="A205" t="s">
        <v>42</v>
      </c>
      <c r="B205" t="s">
        <v>43</v>
      </c>
      <c r="C205">
        <v>2011</v>
      </c>
      <c r="D205">
        <v>6</v>
      </c>
      <c r="E205">
        <v>0</v>
      </c>
      <c r="F205" t="s">
        <v>14</v>
      </c>
    </row>
    <row r="206" spans="1:22" x14ac:dyDescent="0.2">
      <c r="A206" t="s">
        <v>42</v>
      </c>
      <c r="B206" t="s">
        <v>43</v>
      </c>
      <c r="C206">
        <v>2011</v>
      </c>
      <c r="D206">
        <v>7</v>
      </c>
      <c r="E206">
        <v>66350</v>
      </c>
      <c r="F206" t="s">
        <v>12</v>
      </c>
      <c r="P206" t="s">
        <v>42</v>
      </c>
      <c r="Q206" t="s">
        <v>43</v>
      </c>
      <c r="R206" t="s">
        <v>33</v>
      </c>
      <c r="S206">
        <v>7</v>
      </c>
      <c r="T206">
        <v>9</v>
      </c>
      <c r="U206" t="s">
        <v>17</v>
      </c>
      <c r="V206" t="s">
        <v>18</v>
      </c>
    </row>
    <row r="207" spans="1:22" x14ac:dyDescent="0.2">
      <c r="A207" t="s">
        <v>42</v>
      </c>
      <c r="B207" t="s">
        <v>43</v>
      </c>
      <c r="C207">
        <v>2011</v>
      </c>
      <c r="D207">
        <v>8</v>
      </c>
      <c r="E207">
        <v>66004</v>
      </c>
      <c r="F207" t="s">
        <v>13</v>
      </c>
    </row>
    <row r="208" spans="1:22" x14ac:dyDescent="0.2">
      <c r="A208" t="s">
        <v>42</v>
      </c>
      <c r="B208" t="s">
        <v>43</v>
      </c>
      <c r="C208">
        <v>2011</v>
      </c>
      <c r="D208">
        <v>9</v>
      </c>
      <c r="E208">
        <v>81510</v>
      </c>
      <c r="F208" t="s">
        <v>12</v>
      </c>
    </row>
    <row r="209" spans="1:22" x14ac:dyDescent="0.2">
      <c r="A209" t="s">
        <v>42</v>
      </c>
      <c r="B209" t="s">
        <v>43</v>
      </c>
      <c r="C209">
        <v>2011</v>
      </c>
      <c r="D209">
        <v>10</v>
      </c>
      <c r="E209">
        <v>66522</v>
      </c>
      <c r="F209" t="s">
        <v>13</v>
      </c>
    </row>
    <row r="210" spans="1:22" x14ac:dyDescent="0.2">
      <c r="A210" t="s">
        <v>42</v>
      </c>
      <c r="B210" t="s">
        <v>43</v>
      </c>
      <c r="C210">
        <v>2011</v>
      </c>
      <c r="D210">
        <v>11</v>
      </c>
      <c r="E210">
        <v>56400</v>
      </c>
      <c r="F210" t="s">
        <v>12</v>
      </c>
    </row>
    <row r="211" spans="1:22" x14ac:dyDescent="0.2">
      <c r="A211" t="s">
        <v>42</v>
      </c>
      <c r="B211" t="s">
        <v>43</v>
      </c>
      <c r="C211">
        <v>2011</v>
      </c>
      <c r="D211">
        <v>12</v>
      </c>
      <c r="E211">
        <v>66007</v>
      </c>
      <c r="F211" t="s">
        <v>13</v>
      </c>
    </row>
    <row r="212" spans="1:22" x14ac:dyDescent="0.2">
      <c r="A212" t="s">
        <v>42</v>
      </c>
      <c r="B212" t="s">
        <v>43</v>
      </c>
      <c r="C212">
        <v>2011</v>
      </c>
      <c r="D212">
        <v>13</v>
      </c>
      <c r="E212">
        <v>67039</v>
      </c>
      <c r="F212" t="s">
        <v>13</v>
      </c>
    </row>
    <row r="213" spans="1:22" x14ac:dyDescent="0.2">
      <c r="A213" t="s">
        <v>42</v>
      </c>
      <c r="B213" t="s">
        <v>43</v>
      </c>
      <c r="C213">
        <v>2011</v>
      </c>
      <c r="D213">
        <v>14</v>
      </c>
      <c r="E213">
        <v>66577</v>
      </c>
      <c r="F213" t="s">
        <v>13</v>
      </c>
    </row>
    <row r="214" spans="1:22" x14ac:dyDescent="0.2">
      <c r="A214" t="s">
        <v>42</v>
      </c>
      <c r="B214" t="s">
        <v>43</v>
      </c>
      <c r="C214">
        <v>2011</v>
      </c>
      <c r="D214">
        <v>15</v>
      </c>
      <c r="E214">
        <v>61542</v>
      </c>
      <c r="F214" t="s">
        <v>12</v>
      </c>
    </row>
    <row r="215" spans="1:22" x14ac:dyDescent="0.2">
      <c r="A215" t="s">
        <v>42</v>
      </c>
      <c r="B215" t="s">
        <v>43</v>
      </c>
      <c r="C215">
        <v>2011</v>
      </c>
      <c r="D215">
        <v>16</v>
      </c>
      <c r="E215">
        <v>66697</v>
      </c>
      <c r="F215" t="s">
        <v>13</v>
      </c>
    </row>
    <row r="216" spans="1:22" x14ac:dyDescent="0.2">
      <c r="A216" t="s">
        <v>42</v>
      </c>
      <c r="B216" t="s">
        <v>43</v>
      </c>
      <c r="C216">
        <v>2011</v>
      </c>
      <c r="D216">
        <v>17</v>
      </c>
      <c r="E216">
        <v>61798</v>
      </c>
      <c r="F216" t="s">
        <v>12</v>
      </c>
    </row>
    <row r="217" spans="1:22" x14ac:dyDescent="0.2">
      <c r="A217" t="s">
        <v>0</v>
      </c>
      <c r="B217" t="s">
        <v>1</v>
      </c>
      <c r="C217" t="s">
        <v>2</v>
      </c>
      <c r="D217" t="s">
        <v>3</v>
      </c>
      <c r="E217" t="s">
        <v>4</v>
      </c>
      <c r="G217">
        <f>AVERAGEIF(F200:F216,"home",E200:E216)</f>
        <v>66413.875</v>
      </c>
      <c r="P217" t="s">
        <v>0</v>
      </c>
      <c r="Q217" t="s">
        <v>1</v>
      </c>
      <c r="R217" t="s">
        <v>2</v>
      </c>
      <c r="S217" t="s">
        <v>6</v>
      </c>
      <c r="T217" t="s">
        <v>7</v>
      </c>
      <c r="U217" t="s">
        <v>8</v>
      </c>
      <c r="V217" t="s">
        <v>9</v>
      </c>
    </row>
    <row r="218" spans="1:22" x14ac:dyDescent="0.2">
      <c r="A218" t="s">
        <v>42</v>
      </c>
      <c r="B218" t="s">
        <v>43</v>
      </c>
      <c r="C218">
        <v>2012</v>
      </c>
      <c r="D218">
        <v>1</v>
      </c>
      <c r="E218">
        <v>60032</v>
      </c>
      <c r="F218" t="s">
        <v>12</v>
      </c>
    </row>
    <row r="219" spans="1:22" x14ac:dyDescent="0.2">
      <c r="A219" t="s">
        <v>42</v>
      </c>
      <c r="B219" t="s">
        <v>43</v>
      </c>
      <c r="C219">
        <v>2012</v>
      </c>
      <c r="D219">
        <v>2</v>
      </c>
      <c r="E219">
        <v>68008</v>
      </c>
      <c r="F219" t="s">
        <v>13</v>
      </c>
    </row>
    <row r="220" spans="1:22" x14ac:dyDescent="0.2">
      <c r="A220" t="s">
        <v>42</v>
      </c>
      <c r="B220" t="s">
        <v>43</v>
      </c>
      <c r="C220">
        <v>2012</v>
      </c>
      <c r="D220">
        <v>3</v>
      </c>
      <c r="E220">
        <v>68218</v>
      </c>
      <c r="F220" t="s">
        <v>13</v>
      </c>
    </row>
    <row r="221" spans="1:22" x14ac:dyDescent="0.2">
      <c r="A221" t="s">
        <v>42</v>
      </c>
      <c r="B221" t="s">
        <v>43</v>
      </c>
      <c r="C221">
        <v>2012</v>
      </c>
      <c r="D221">
        <v>4</v>
      </c>
      <c r="E221">
        <v>53193</v>
      </c>
      <c r="F221" t="s">
        <v>12</v>
      </c>
    </row>
    <row r="222" spans="1:22" x14ac:dyDescent="0.2">
      <c r="A222" t="s">
        <v>42</v>
      </c>
      <c r="B222" t="s">
        <v>43</v>
      </c>
      <c r="C222">
        <v>2012</v>
      </c>
      <c r="D222">
        <v>5</v>
      </c>
      <c r="E222">
        <v>72676</v>
      </c>
      <c r="F222" t="s">
        <v>12</v>
      </c>
    </row>
    <row r="223" spans="1:22" x14ac:dyDescent="0.2">
      <c r="A223" t="s">
        <v>42</v>
      </c>
      <c r="B223" t="s">
        <v>43</v>
      </c>
      <c r="C223">
        <v>2012</v>
      </c>
      <c r="D223">
        <v>6</v>
      </c>
      <c r="E223">
        <v>68137</v>
      </c>
      <c r="F223" t="s">
        <v>13</v>
      </c>
    </row>
    <row r="224" spans="1:22" x14ac:dyDescent="0.2">
      <c r="A224" t="s">
        <v>42</v>
      </c>
      <c r="B224" t="s">
        <v>43</v>
      </c>
      <c r="C224">
        <v>2012</v>
      </c>
      <c r="D224">
        <v>7</v>
      </c>
      <c r="E224">
        <v>69732</v>
      </c>
      <c r="F224" t="s">
        <v>12</v>
      </c>
    </row>
    <row r="225" spans="1:22" x14ac:dyDescent="0.2">
      <c r="A225" t="s">
        <v>42</v>
      </c>
      <c r="B225" t="s">
        <v>43</v>
      </c>
      <c r="C225">
        <v>2012</v>
      </c>
      <c r="D225">
        <v>8</v>
      </c>
      <c r="E225">
        <v>63497</v>
      </c>
      <c r="F225" t="s">
        <v>12</v>
      </c>
      <c r="P225" t="s">
        <v>42</v>
      </c>
      <c r="Q225" t="s">
        <v>43</v>
      </c>
      <c r="R225" t="s">
        <v>34</v>
      </c>
      <c r="S225">
        <v>11</v>
      </c>
      <c r="T225">
        <v>5</v>
      </c>
      <c r="U225" t="s">
        <v>29</v>
      </c>
      <c r="V225" t="s">
        <v>18</v>
      </c>
    </row>
    <row r="226" spans="1:22" x14ac:dyDescent="0.2">
      <c r="A226" t="s">
        <v>42</v>
      </c>
      <c r="B226" t="s">
        <v>43</v>
      </c>
      <c r="C226">
        <v>2012</v>
      </c>
      <c r="D226">
        <v>9</v>
      </c>
      <c r="E226">
        <v>67584</v>
      </c>
      <c r="F226" t="s">
        <v>13</v>
      </c>
    </row>
    <row r="227" spans="1:22" x14ac:dyDescent="0.2">
      <c r="A227" t="s">
        <v>42</v>
      </c>
      <c r="B227" t="s">
        <v>43</v>
      </c>
      <c r="C227">
        <v>2012</v>
      </c>
      <c r="D227">
        <v>10</v>
      </c>
      <c r="E227">
        <v>67841</v>
      </c>
      <c r="F227" t="s">
        <v>13</v>
      </c>
    </row>
    <row r="228" spans="1:22" x14ac:dyDescent="0.2">
      <c r="A228" t="s">
        <v>42</v>
      </c>
      <c r="B228" t="s">
        <v>43</v>
      </c>
      <c r="C228">
        <v>2012</v>
      </c>
      <c r="D228">
        <v>11</v>
      </c>
      <c r="E228">
        <v>0</v>
      </c>
      <c r="F228" t="s">
        <v>14</v>
      </c>
    </row>
    <row r="229" spans="1:22" x14ac:dyDescent="0.2">
      <c r="A229" t="s">
        <v>42</v>
      </c>
      <c r="B229" t="s">
        <v>43</v>
      </c>
      <c r="C229">
        <v>2012</v>
      </c>
      <c r="D229">
        <v>12</v>
      </c>
      <c r="E229">
        <v>51295</v>
      </c>
      <c r="F229" t="s">
        <v>12</v>
      </c>
    </row>
    <row r="230" spans="1:22" x14ac:dyDescent="0.2">
      <c r="A230" t="s">
        <v>42</v>
      </c>
      <c r="B230" t="s">
        <v>43</v>
      </c>
      <c r="C230">
        <v>2012</v>
      </c>
      <c r="D230">
        <v>13</v>
      </c>
      <c r="E230">
        <v>62264</v>
      </c>
      <c r="F230" t="s">
        <v>12</v>
      </c>
    </row>
    <row r="231" spans="1:22" x14ac:dyDescent="0.2">
      <c r="A231" t="s">
        <v>42</v>
      </c>
      <c r="B231" t="s">
        <v>43</v>
      </c>
      <c r="C231">
        <v>2012</v>
      </c>
      <c r="D231">
        <v>14</v>
      </c>
      <c r="E231">
        <v>67685</v>
      </c>
      <c r="F231" t="s">
        <v>13</v>
      </c>
    </row>
    <row r="232" spans="1:22" x14ac:dyDescent="0.2">
      <c r="A232" t="s">
        <v>42</v>
      </c>
      <c r="B232" t="s">
        <v>43</v>
      </c>
      <c r="C232">
        <v>2012</v>
      </c>
      <c r="D232">
        <v>15</v>
      </c>
      <c r="E232">
        <v>40770</v>
      </c>
      <c r="F232" t="s">
        <v>12</v>
      </c>
    </row>
    <row r="233" spans="1:22" x14ac:dyDescent="0.2">
      <c r="A233" t="s">
        <v>42</v>
      </c>
      <c r="B233" t="s">
        <v>43</v>
      </c>
      <c r="C233">
        <v>2012</v>
      </c>
      <c r="D233">
        <v>16</v>
      </c>
      <c r="E233">
        <v>68161</v>
      </c>
      <c r="F233" t="s">
        <v>13</v>
      </c>
    </row>
    <row r="234" spans="1:22" x14ac:dyDescent="0.2">
      <c r="A234" t="s">
        <v>42</v>
      </c>
      <c r="B234" t="s">
        <v>43</v>
      </c>
      <c r="C234">
        <v>2012</v>
      </c>
      <c r="D234">
        <v>17</v>
      </c>
      <c r="E234">
        <v>67936</v>
      </c>
      <c r="F234" t="s">
        <v>13</v>
      </c>
    </row>
    <row r="235" spans="1:22" x14ac:dyDescent="0.2">
      <c r="A235" t="s">
        <v>0</v>
      </c>
      <c r="B235" t="s">
        <v>1</v>
      </c>
      <c r="C235" t="s">
        <v>2</v>
      </c>
      <c r="D235" t="s">
        <v>3</v>
      </c>
      <c r="E235" t="s">
        <v>4</v>
      </c>
      <c r="G235">
        <f>AVERAGEIF(F218:F234,"home",E218:E234)</f>
        <v>67946.25</v>
      </c>
      <c r="P235" t="s">
        <v>0</v>
      </c>
      <c r="Q235" t="s">
        <v>1</v>
      </c>
      <c r="R235" t="s">
        <v>2</v>
      </c>
      <c r="S235" t="s">
        <v>6</v>
      </c>
      <c r="T235" t="s">
        <v>7</v>
      </c>
      <c r="U235" t="s">
        <v>8</v>
      </c>
      <c r="V235" t="s">
        <v>9</v>
      </c>
    </row>
    <row r="236" spans="1:22" x14ac:dyDescent="0.2">
      <c r="A236" t="s">
        <v>42</v>
      </c>
      <c r="B236" t="s">
        <v>43</v>
      </c>
      <c r="C236">
        <v>2013</v>
      </c>
      <c r="D236">
        <v>1</v>
      </c>
      <c r="E236">
        <v>73294</v>
      </c>
      <c r="F236" t="s">
        <v>12</v>
      </c>
    </row>
    <row r="237" spans="1:22" x14ac:dyDescent="0.2">
      <c r="A237" t="s">
        <v>42</v>
      </c>
      <c r="B237" t="s">
        <v>43</v>
      </c>
      <c r="C237">
        <v>2013</v>
      </c>
      <c r="D237">
        <v>2</v>
      </c>
      <c r="E237">
        <v>68338</v>
      </c>
      <c r="F237" t="s">
        <v>13</v>
      </c>
    </row>
    <row r="238" spans="1:22" x14ac:dyDescent="0.2">
      <c r="A238" t="s">
        <v>42</v>
      </c>
      <c r="B238" t="s">
        <v>43</v>
      </c>
      <c r="C238">
        <v>2013</v>
      </c>
      <c r="D238">
        <v>3</v>
      </c>
      <c r="E238">
        <v>68087</v>
      </c>
      <c r="F238" t="s">
        <v>13</v>
      </c>
    </row>
    <row r="239" spans="1:22" x14ac:dyDescent="0.2">
      <c r="A239" t="s">
        <v>42</v>
      </c>
      <c r="B239" t="s">
        <v>43</v>
      </c>
      <c r="C239">
        <v>2013</v>
      </c>
      <c r="D239">
        <v>4</v>
      </c>
      <c r="E239">
        <v>71756</v>
      </c>
      <c r="F239" t="s">
        <v>12</v>
      </c>
    </row>
    <row r="240" spans="1:22" x14ac:dyDescent="0.2">
      <c r="A240" t="s">
        <v>42</v>
      </c>
      <c r="B240" t="s">
        <v>43</v>
      </c>
      <c r="C240">
        <v>2013</v>
      </c>
      <c r="D240">
        <v>5</v>
      </c>
      <c r="E240">
        <v>66608</v>
      </c>
      <c r="F240" t="s">
        <v>12</v>
      </c>
    </row>
    <row r="241" spans="1:22" x14ac:dyDescent="0.2">
      <c r="A241" t="s">
        <v>42</v>
      </c>
      <c r="B241" t="s">
        <v>43</v>
      </c>
      <c r="C241">
        <v>2013</v>
      </c>
      <c r="D241">
        <v>6</v>
      </c>
      <c r="E241">
        <v>68127</v>
      </c>
      <c r="F241" t="s">
        <v>13</v>
      </c>
    </row>
    <row r="242" spans="1:22" x14ac:dyDescent="0.2">
      <c r="A242" t="s">
        <v>42</v>
      </c>
      <c r="B242" t="s">
        <v>43</v>
      </c>
      <c r="C242">
        <v>2013</v>
      </c>
      <c r="D242">
        <v>7</v>
      </c>
      <c r="E242">
        <v>61200</v>
      </c>
      <c r="F242" t="s">
        <v>12</v>
      </c>
    </row>
    <row r="243" spans="1:22" x14ac:dyDescent="0.2">
      <c r="A243" t="s">
        <v>42</v>
      </c>
      <c r="B243" t="s">
        <v>43</v>
      </c>
      <c r="C243">
        <v>2013</v>
      </c>
      <c r="D243">
        <v>8</v>
      </c>
      <c r="E243">
        <v>55966</v>
      </c>
      <c r="F243" t="s">
        <v>12</v>
      </c>
      <c r="P243" t="s">
        <v>42</v>
      </c>
      <c r="Q243" t="s">
        <v>43</v>
      </c>
      <c r="R243" t="s">
        <v>35</v>
      </c>
      <c r="S243">
        <v>13</v>
      </c>
      <c r="T243">
        <v>3</v>
      </c>
      <c r="U243" t="s">
        <v>29</v>
      </c>
      <c r="V243" t="s">
        <v>45</v>
      </c>
    </row>
    <row r="244" spans="1:22" x14ac:dyDescent="0.2">
      <c r="A244" t="s">
        <v>42</v>
      </c>
      <c r="B244" t="s">
        <v>43</v>
      </c>
      <c r="C244">
        <v>2013</v>
      </c>
      <c r="D244">
        <v>9</v>
      </c>
      <c r="E244">
        <v>67873</v>
      </c>
      <c r="F244" t="s">
        <v>13</v>
      </c>
    </row>
    <row r="245" spans="1:22" x14ac:dyDescent="0.2">
      <c r="A245" t="s">
        <v>42</v>
      </c>
      <c r="B245" t="s">
        <v>43</v>
      </c>
      <c r="C245">
        <v>2013</v>
      </c>
      <c r="D245">
        <v>10</v>
      </c>
      <c r="E245">
        <v>70309</v>
      </c>
      <c r="F245" t="s">
        <v>12</v>
      </c>
    </row>
    <row r="246" spans="1:22" x14ac:dyDescent="0.2">
      <c r="A246" t="s">
        <v>42</v>
      </c>
      <c r="B246" t="s">
        <v>43</v>
      </c>
      <c r="C246">
        <v>2013</v>
      </c>
      <c r="D246">
        <v>11</v>
      </c>
      <c r="E246">
        <v>68235</v>
      </c>
      <c r="F246" t="s">
        <v>13</v>
      </c>
    </row>
    <row r="247" spans="1:22" x14ac:dyDescent="0.2">
      <c r="A247" t="s">
        <v>42</v>
      </c>
      <c r="B247" t="s">
        <v>43</v>
      </c>
      <c r="C247">
        <v>2013</v>
      </c>
      <c r="D247">
        <v>12</v>
      </c>
      <c r="E247">
        <v>0</v>
      </c>
      <c r="F247" t="s">
        <v>46</v>
      </c>
    </row>
    <row r="248" spans="1:22" x14ac:dyDescent="0.2">
      <c r="A248" t="s">
        <v>42</v>
      </c>
      <c r="B248" t="s">
        <v>43</v>
      </c>
      <c r="C248">
        <v>2013</v>
      </c>
      <c r="D248">
        <v>13</v>
      </c>
      <c r="E248">
        <v>68387</v>
      </c>
      <c r="F248" t="s">
        <v>13</v>
      </c>
    </row>
    <row r="249" spans="1:22" x14ac:dyDescent="0.2">
      <c r="A249" t="s">
        <v>42</v>
      </c>
      <c r="B249" t="s">
        <v>43</v>
      </c>
      <c r="C249">
        <v>2013</v>
      </c>
      <c r="D249">
        <v>14</v>
      </c>
      <c r="E249">
        <v>69732</v>
      </c>
      <c r="F249" t="s">
        <v>12</v>
      </c>
    </row>
    <row r="250" spans="1:22" x14ac:dyDescent="0.2">
      <c r="A250" t="s">
        <v>42</v>
      </c>
      <c r="B250" t="s">
        <v>43</v>
      </c>
      <c r="C250">
        <v>2013</v>
      </c>
      <c r="D250">
        <v>15</v>
      </c>
      <c r="E250">
        <v>79691</v>
      </c>
      <c r="F250" t="s">
        <v>12</v>
      </c>
    </row>
    <row r="251" spans="1:22" x14ac:dyDescent="0.2">
      <c r="A251" t="s">
        <v>42</v>
      </c>
      <c r="B251" t="s">
        <v>43</v>
      </c>
      <c r="C251">
        <v>2013</v>
      </c>
      <c r="D251">
        <v>16</v>
      </c>
      <c r="E251">
        <v>68266</v>
      </c>
      <c r="F251" t="s">
        <v>13</v>
      </c>
    </row>
    <row r="252" spans="1:22" x14ac:dyDescent="0.2">
      <c r="A252" t="s">
        <v>42</v>
      </c>
      <c r="B252" t="s">
        <v>43</v>
      </c>
      <c r="C252">
        <v>2013</v>
      </c>
      <c r="D252">
        <v>17</v>
      </c>
      <c r="E252">
        <v>68264</v>
      </c>
      <c r="F252" t="s">
        <v>13</v>
      </c>
    </row>
    <row r="253" spans="1:22" x14ac:dyDescent="0.2">
      <c r="A253" t="s">
        <v>0</v>
      </c>
      <c r="B253" t="s">
        <v>1</v>
      </c>
      <c r="C253" t="s">
        <v>2</v>
      </c>
      <c r="D253" t="s">
        <v>3</v>
      </c>
      <c r="E253" t="s">
        <v>4</v>
      </c>
      <c r="G253">
        <f>AVERAGEIF(F236:F252,"home",E236:E252)</f>
        <v>68197.125</v>
      </c>
      <c r="P253" t="s">
        <v>0</v>
      </c>
      <c r="Q253" t="s">
        <v>1</v>
      </c>
      <c r="R253" t="s">
        <v>2</v>
      </c>
      <c r="S253" t="s">
        <v>6</v>
      </c>
      <c r="T253" t="s">
        <v>7</v>
      </c>
      <c r="U253" t="s">
        <v>8</v>
      </c>
      <c r="V253" t="s">
        <v>9</v>
      </c>
    </row>
    <row r="254" spans="1:22" x14ac:dyDescent="0.2">
      <c r="A254" t="s">
        <v>42</v>
      </c>
      <c r="B254" t="s">
        <v>43</v>
      </c>
      <c r="C254">
        <v>2014</v>
      </c>
      <c r="D254">
        <v>1</v>
      </c>
      <c r="E254">
        <v>68424</v>
      </c>
      <c r="F254" t="s">
        <v>13</v>
      </c>
    </row>
    <row r="255" spans="1:22" x14ac:dyDescent="0.2">
      <c r="A255" t="s">
        <v>42</v>
      </c>
      <c r="B255" t="s">
        <v>43</v>
      </c>
      <c r="C255">
        <v>2014</v>
      </c>
      <c r="D255">
        <v>2</v>
      </c>
      <c r="E255">
        <v>67916</v>
      </c>
      <c r="F255" t="s">
        <v>12</v>
      </c>
    </row>
    <row r="256" spans="1:22" x14ac:dyDescent="0.2">
      <c r="A256" t="s">
        <v>42</v>
      </c>
      <c r="B256" t="s">
        <v>43</v>
      </c>
      <c r="C256">
        <v>2014</v>
      </c>
      <c r="D256">
        <v>3</v>
      </c>
      <c r="E256">
        <v>68447</v>
      </c>
      <c r="F256" t="s">
        <v>13</v>
      </c>
    </row>
    <row r="257" spans="1:22" x14ac:dyDescent="0.2">
      <c r="A257" t="s">
        <v>42</v>
      </c>
      <c r="B257" t="s">
        <v>43</v>
      </c>
      <c r="C257">
        <v>2014</v>
      </c>
      <c r="D257">
        <v>4</v>
      </c>
      <c r="E257">
        <v>0</v>
      </c>
      <c r="F257" t="s">
        <v>14</v>
      </c>
    </row>
    <row r="258" spans="1:22" x14ac:dyDescent="0.2">
      <c r="A258" t="s">
        <v>42</v>
      </c>
      <c r="B258" t="s">
        <v>43</v>
      </c>
      <c r="C258">
        <v>2014</v>
      </c>
      <c r="D258">
        <v>5</v>
      </c>
      <c r="E258">
        <v>79522</v>
      </c>
      <c r="F258" t="s">
        <v>12</v>
      </c>
    </row>
    <row r="259" spans="1:22" x14ac:dyDescent="0.2">
      <c r="A259" t="s">
        <v>42</v>
      </c>
      <c r="B259" t="s">
        <v>43</v>
      </c>
      <c r="C259">
        <v>2014</v>
      </c>
      <c r="D259">
        <v>6</v>
      </c>
      <c r="E259">
        <v>68432</v>
      </c>
      <c r="F259" t="s">
        <v>13</v>
      </c>
    </row>
    <row r="260" spans="1:22" x14ac:dyDescent="0.2">
      <c r="A260" t="s">
        <v>42</v>
      </c>
      <c r="B260" t="s">
        <v>43</v>
      </c>
      <c r="C260">
        <v>2014</v>
      </c>
      <c r="D260">
        <v>7</v>
      </c>
      <c r="E260">
        <v>57855</v>
      </c>
      <c r="F260" t="s">
        <v>12</v>
      </c>
    </row>
    <row r="261" spans="1:22" x14ac:dyDescent="0.2">
      <c r="A261" t="s">
        <v>42</v>
      </c>
      <c r="B261" t="s">
        <v>43</v>
      </c>
      <c r="C261">
        <v>2014</v>
      </c>
      <c r="D261">
        <v>8</v>
      </c>
      <c r="E261">
        <v>74042</v>
      </c>
      <c r="F261" t="s">
        <v>12</v>
      </c>
      <c r="P261" t="s">
        <v>42</v>
      </c>
      <c r="Q261" t="s">
        <v>43</v>
      </c>
      <c r="R261" t="s">
        <v>36</v>
      </c>
      <c r="S261">
        <v>12</v>
      </c>
      <c r="T261">
        <v>4</v>
      </c>
      <c r="U261" t="s">
        <v>29</v>
      </c>
      <c r="V261" t="s">
        <v>30</v>
      </c>
    </row>
    <row r="262" spans="1:22" x14ac:dyDescent="0.2">
      <c r="A262" t="s">
        <v>42</v>
      </c>
      <c r="B262" t="s">
        <v>43</v>
      </c>
      <c r="C262">
        <v>2014</v>
      </c>
      <c r="D262">
        <v>9</v>
      </c>
      <c r="E262">
        <v>68337</v>
      </c>
      <c r="F262" t="s">
        <v>13</v>
      </c>
    </row>
    <row r="263" spans="1:22" x14ac:dyDescent="0.2">
      <c r="A263" t="s">
        <v>42</v>
      </c>
      <c r="B263" t="s">
        <v>43</v>
      </c>
      <c r="C263">
        <v>2014</v>
      </c>
      <c r="D263">
        <v>10</v>
      </c>
      <c r="E263">
        <v>68352</v>
      </c>
      <c r="F263" t="s">
        <v>13</v>
      </c>
    </row>
    <row r="264" spans="1:22" x14ac:dyDescent="0.2">
      <c r="A264" t="s">
        <v>42</v>
      </c>
      <c r="B264" t="s">
        <v>43</v>
      </c>
      <c r="C264">
        <v>2014</v>
      </c>
      <c r="D264">
        <v>11</v>
      </c>
      <c r="E264">
        <v>76463</v>
      </c>
      <c r="F264" t="s">
        <v>12</v>
      </c>
    </row>
    <row r="265" spans="1:22" x14ac:dyDescent="0.2">
      <c r="A265" t="s">
        <v>42</v>
      </c>
      <c r="B265" t="s">
        <v>43</v>
      </c>
      <c r="C265">
        <v>2014</v>
      </c>
      <c r="D265">
        <v>12</v>
      </c>
      <c r="E265">
        <v>68327</v>
      </c>
      <c r="F265" t="s">
        <v>13</v>
      </c>
    </row>
    <row r="266" spans="1:22" x14ac:dyDescent="0.2">
      <c r="A266" t="s">
        <v>42</v>
      </c>
      <c r="B266" t="s">
        <v>43</v>
      </c>
      <c r="C266">
        <v>2014</v>
      </c>
      <c r="D266">
        <v>13</v>
      </c>
      <c r="E266">
        <v>70799</v>
      </c>
      <c r="F266" t="s">
        <v>12</v>
      </c>
    </row>
    <row r="267" spans="1:22" x14ac:dyDescent="0.2">
      <c r="A267" t="s">
        <v>42</v>
      </c>
      <c r="B267" t="s">
        <v>43</v>
      </c>
      <c r="C267">
        <v>2014</v>
      </c>
      <c r="D267">
        <v>14</v>
      </c>
      <c r="E267">
        <v>69596</v>
      </c>
      <c r="F267" t="s">
        <v>12</v>
      </c>
    </row>
    <row r="268" spans="1:22" x14ac:dyDescent="0.2">
      <c r="A268" t="s">
        <v>42</v>
      </c>
      <c r="B268" t="s">
        <v>43</v>
      </c>
      <c r="C268">
        <v>2014</v>
      </c>
      <c r="D268">
        <v>15</v>
      </c>
      <c r="E268">
        <v>68526</v>
      </c>
      <c r="F268" t="s">
        <v>13</v>
      </c>
    </row>
    <row r="269" spans="1:22" x14ac:dyDescent="0.2">
      <c r="A269" t="s">
        <v>42</v>
      </c>
      <c r="B269" t="s">
        <v>43</v>
      </c>
      <c r="C269">
        <v>2014</v>
      </c>
      <c r="D269">
        <v>16</v>
      </c>
      <c r="E269">
        <v>63806</v>
      </c>
      <c r="F269" t="s">
        <v>12</v>
      </c>
    </row>
    <row r="270" spans="1:22" x14ac:dyDescent="0.2">
      <c r="A270" t="s">
        <v>42</v>
      </c>
      <c r="B270" t="s">
        <v>43</v>
      </c>
      <c r="C270">
        <v>2014</v>
      </c>
      <c r="D270">
        <v>17</v>
      </c>
      <c r="E270">
        <v>68453</v>
      </c>
      <c r="F270" t="s">
        <v>13</v>
      </c>
    </row>
    <row r="271" spans="1:22" x14ac:dyDescent="0.2">
      <c r="A271" t="s">
        <v>0</v>
      </c>
      <c r="B271" t="s">
        <v>1</v>
      </c>
      <c r="C271" t="s">
        <v>2</v>
      </c>
      <c r="D271" t="s">
        <v>3</v>
      </c>
      <c r="E271" t="s">
        <v>4</v>
      </c>
      <c r="G271">
        <f>AVERAGEIF(F254:F270,"home",E254:E270)</f>
        <v>68412.25</v>
      </c>
      <c r="P271" t="s">
        <v>0</v>
      </c>
      <c r="Q271" t="s">
        <v>1</v>
      </c>
      <c r="R271" t="s">
        <v>2</v>
      </c>
      <c r="S271" t="s">
        <v>6</v>
      </c>
      <c r="T271" t="s">
        <v>7</v>
      </c>
      <c r="U271" t="s">
        <v>8</v>
      </c>
      <c r="V271" t="s">
        <v>9</v>
      </c>
    </row>
    <row r="272" spans="1:22" x14ac:dyDescent="0.2">
      <c r="A272" t="s">
        <v>42</v>
      </c>
      <c r="B272" t="s">
        <v>43</v>
      </c>
      <c r="C272">
        <v>2015</v>
      </c>
      <c r="D272">
        <v>1</v>
      </c>
      <c r="E272">
        <v>51792</v>
      </c>
      <c r="F272" t="s">
        <v>12</v>
      </c>
    </row>
    <row r="273" spans="1:22" x14ac:dyDescent="0.2">
      <c r="A273" t="s">
        <v>42</v>
      </c>
      <c r="B273" t="s">
        <v>43</v>
      </c>
      <c r="C273">
        <v>2015</v>
      </c>
      <c r="D273">
        <v>2</v>
      </c>
      <c r="E273">
        <v>78433</v>
      </c>
      <c r="F273" t="s">
        <v>12</v>
      </c>
    </row>
    <row r="274" spans="1:22" x14ac:dyDescent="0.2">
      <c r="A274" t="s">
        <v>42</v>
      </c>
      <c r="B274" t="s">
        <v>43</v>
      </c>
      <c r="C274">
        <v>2015</v>
      </c>
      <c r="D274">
        <v>3</v>
      </c>
      <c r="E274">
        <v>69002</v>
      </c>
      <c r="F274" t="s">
        <v>13</v>
      </c>
    </row>
    <row r="275" spans="1:22" x14ac:dyDescent="0.2">
      <c r="A275" t="s">
        <v>42</v>
      </c>
      <c r="B275" t="s">
        <v>43</v>
      </c>
      <c r="C275">
        <v>2015</v>
      </c>
      <c r="D275">
        <v>4</v>
      </c>
      <c r="E275">
        <v>69005</v>
      </c>
      <c r="F275" t="s">
        <v>13</v>
      </c>
    </row>
    <row r="276" spans="1:22" x14ac:dyDescent="0.2">
      <c r="A276" t="s">
        <v>42</v>
      </c>
      <c r="B276" t="s">
        <v>43</v>
      </c>
      <c r="C276">
        <v>2015</v>
      </c>
      <c r="D276">
        <v>5</v>
      </c>
      <c r="E276">
        <v>65004</v>
      </c>
      <c r="F276" t="s">
        <v>12</v>
      </c>
    </row>
    <row r="277" spans="1:22" x14ac:dyDescent="0.2">
      <c r="A277" t="s">
        <v>42</v>
      </c>
      <c r="B277" t="s">
        <v>43</v>
      </c>
      <c r="C277">
        <v>2015</v>
      </c>
      <c r="D277">
        <v>6</v>
      </c>
      <c r="E277">
        <v>69020</v>
      </c>
      <c r="F277" t="s">
        <v>13</v>
      </c>
    </row>
    <row r="278" spans="1:22" x14ac:dyDescent="0.2">
      <c r="A278" t="s">
        <v>42</v>
      </c>
      <c r="B278" t="s">
        <v>43</v>
      </c>
      <c r="C278">
        <v>2015</v>
      </c>
      <c r="D278">
        <v>7</v>
      </c>
      <c r="E278">
        <v>70799</v>
      </c>
      <c r="F278" t="s">
        <v>12</v>
      </c>
    </row>
    <row r="279" spans="1:22" x14ac:dyDescent="0.2">
      <c r="A279" t="s">
        <v>42</v>
      </c>
      <c r="B279" t="s">
        <v>43</v>
      </c>
      <c r="C279">
        <v>2015</v>
      </c>
      <c r="D279">
        <v>8</v>
      </c>
      <c r="E279">
        <v>91486</v>
      </c>
      <c r="F279" t="s">
        <v>12</v>
      </c>
      <c r="P279" t="s">
        <v>42</v>
      </c>
      <c r="Q279" t="s">
        <v>43</v>
      </c>
      <c r="R279" t="s">
        <v>37</v>
      </c>
      <c r="S279">
        <v>10</v>
      </c>
      <c r="T279">
        <v>6</v>
      </c>
      <c r="U279" t="s">
        <v>29</v>
      </c>
      <c r="V279" t="s">
        <v>18</v>
      </c>
    </row>
    <row r="280" spans="1:22" x14ac:dyDescent="0.2">
      <c r="A280" t="s">
        <v>42</v>
      </c>
      <c r="B280" t="s">
        <v>43</v>
      </c>
      <c r="C280">
        <v>2015</v>
      </c>
      <c r="D280">
        <v>9</v>
      </c>
      <c r="E280">
        <v>0</v>
      </c>
      <c r="F280" t="s">
        <v>46</v>
      </c>
    </row>
    <row r="281" spans="1:22" x14ac:dyDescent="0.2">
      <c r="A281" t="s">
        <v>42</v>
      </c>
      <c r="B281" t="s">
        <v>43</v>
      </c>
      <c r="C281">
        <v>2015</v>
      </c>
      <c r="D281">
        <v>10</v>
      </c>
      <c r="E281">
        <v>69005</v>
      </c>
      <c r="F281" t="s">
        <v>13</v>
      </c>
    </row>
    <row r="282" spans="1:22" x14ac:dyDescent="0.2">
      <c r="A282" t="s">
        <v>42</v>
      </c>
      <c r="B282" t="s">
        <v>43</v>
      </c>
      <c r="C282">
        <v>2015</v>
      </c>
      <c r="D282">
        <v>11</v>
      </c>
      <c r="E282">
        <v>68993</v>
      </c>
      <c r="F282" t="s">
        <v>13</v>
      </c>
    </row>
    <row r="283" spans="1:22" x14ac:dyDescent="0.2">
      <c r="A283" t="s">
        <v>42</v>
      </c>
      <c r="B283" t="s">
        <v>43</v>
      </c>
      <c r="C283">
        <v>2015</v>
      </c>
      <c r="D283">
        <v>12</v>
      </c>
      <c r="E283">
        <v>69055</v>
      </c>
      <c r="F283" t="s">
        <v>13</v>
      </c>
    </row>
    <row r="284" spans="1:22" x14ac:dyDescent="0.2">
      <c r="A284" t="s">
        <v>42</v>
      </c>
      <c r="B284" t="s">
        <v>43</v>
      </c>
      <c r="C284">
        <v>2015</v>
      </c>
      <c r="D284">
        <v>13</v>
      </c>
      <c r="E284">
        <v>52430</v>
      </c>
      <c r="F284" t="s">
        <v>12</v>
      </c>
    </row>
    <row r="285" spans="1:22" x14ac:dyDescent="0.2">
      <c r="A285" t="s">
        <v>42</v>
      </c>
      <c r="B285" t="s">
        <v>43</v>
      </c>
      <c r="C285">
        <v>2015</v>
      </c>
      <c r="D285">
        <v>14</v>
      </c>
      <c r="E285">
        <v>71179</v>
      </c>
      <c r="F285" t="s">
        <v>12</v>
      </c>
    </row>
    <row r="286" spans="1:22" x14ac:dyDescent="0.2">
      <c r="A286" t="s">
        <v>42</v>
      </c>
      <c r="B286" t="s">
        <v>43</v>
      </c>
      <c r="C286">
        <v>2015</v>
      </c>
      <c r="D286">
        <v>15</v>
      </c>
      <c r="E286">
        <v>69002</v>
      </c>
      <c r="F286" t="s">
        <v>13</v>
      </c>
    </row>
    <row r="287" spans="1:22" x14ac:dyDescent="0.2">
      <c r="A287" t="s">
        <v>42</v>
      </c>
      <c r="B287" t="s">
        <v>43</v>
      </c>
      <c r="C287">
        <v>2015</v>
      </c>
      <c r="D287">
        <v>16</v>
      </c>
      <c r="E287">
        <v>69080</v>
      </c>
      <c r="F287" t="s">
        <v>13</v>
      </c>
    </row>
    <row r="288" spans="1:22" x14ac:dyDescent="0.2">
      <c r="A288" t="s">
        <v>42</v>
      </c>
      <c r="B288" t="s">
        <v>43</v>
      </c>
      <c r="C288">
        <v>2015</v>
      </c>
      <c r="D288">
        <v>17</v>
      </c>
      <c r="E288">
        <v>64646</v>
      </c>
      <c r="F288" t="s">
        <v>12</v>
      </c>
    </row>
    <row r="289" spans="1:22" x14ac:dyDescent="0.2">
      <c r="A289" t="s">
        <v>0</v>
      </c>
      <c r="B289" t="s">
        <v>1</v>
      </c>
      <c r="C289" t="s">
        <v>2</v>
      </c>
      <c r="D289" t="s">
        <v>3</v>
      </c>
      <c r="E289" t="s">
        <v>4</v>
      </c>
      <c r="G289">
        <f>AVERAGEIF(F272:F288,"home",E272:E288)</f>
        <v>69020.25</v>
      </c>
      <c r="P289" t="s">
        <v>0</v>
      </c>
      <c r="Q289" t="s">
        <v>1</v>
      </c>
      <c r="R289" t="s">
        <v>2</v>
      </c>
      <c r="S289" t="s">
        <v>6</v>
      </c>
      <c r="T289" t="s">
        <v>7</v>
      </c>
      <c r="U289" t="s">
        <v>8</v>
      </c>
      <c r="V289" t="s">
        <v>9</v>
      </c>
    </row>
    <row r="290" spans="1:22" x14ac:dyDescent="0.2">
      <c r="A290" t="s">
        <v>42</v>
      </c>
      <c r="B290" t="s">
        <v>43</v>
      </c>
      <c r="C290">
        <v>2016</v>
      </c>
      <c r="D290">
        <v>1</v>
      </c>
      <c r="E290">
        <v>69012</v>
      </c>
      <c r="F290" t="s">
        <v>13</v>
      </c>
    </row>
    <row r="291" spans="1:22" x14ac:dyDescent="0.2">
      <c r="A291" t="s">
        <v>42</v>
      </c>
      <c r="B291" t="s">
        <v>43</v>
      </c>
      <c r="C291">
        <v>2016</v>
      </c>
      <c r="D291">
        <v>2</v>
      </c>
      <c r="E291">
        <v>91046</v>
      </c>
      <c r="F291" t="s">
        <v>12</v>
      </c>
    </row>
    <row r="292" spans="1:22" x14ac:dyDescent="0.2">
      <c r="A292" t="s">
        <v>42</v>
      </c>
      <c r="B292" t="s">
        <v>43</v>
      </c>
      <c r="C292">
        <v>2016</v>
      </c>
      <c r="D292">
        <v>3</v>
      </c>
      <c r="E292">
        <v>69010</v>
      </c>
      <c r="F292" t="s">
        <v>13</v>
      </c>
    </row>
    <row r="293" spans="1:22" x14ac:dyDescent="0.2">
      <c r="A293" t="s">
        <v>42</v>
      </c>
      <c r="B293" t="s">
        <v>43</v>
      </c>
      <c r="C293">
        <v>2016</v>
      </c>
      <c r="D293">
        <v>4</v>
      </c>
      <c r="E293">
        <v>78160</v>
      </c>
      <c r="F293" t="s">
        <v>12</v>
      </c>
    </row>
    <row r="294" spans="1:22" x14ac:dyDescent="0.2">
      <c r="A294" t="s">
        <v>42</v>
      </c>
      <c r="B294" t="s">
        <v>43</v>
      </c>
      <c r="C294">
        <v>2016</v>
      </c>
      <c r="D294">
        <v>5</v>
      </c>
      <c r="E294">
        <v>0</v>
      </c>
      <c r="F294" t="s">
        <v>47</v>
      </c>
    </row>
    <row r="295" spans="1:22" x14ac:dyDescent="0.2">
      <c r="A295" t="s">
        <v>42</v>
      </c>
      <c r="B295" t="s">
        <v>43</v>
      </c>
      <c r="C295">
        <v>2016</v>
      </c>
      <c r="D295">
        <v>6</v>
      </c>
      <c r="E295">
        <v>69071</v>
      </c>
      <c r="F295" t="s">
        <v>13</v>
      </c>
    </row>
    <row r="296" spans="1:22" x14ac:dyDescent="0.2">
      <c r="A296" t="s">
        <v>42</v>
      </c>
      <c r="B296" t="s">
        <v>43</v>
      </c>
      <c r="C296">
        <v>2016</v>
      </c>
      <c r="D296">
        <v>7</v>
      </c>
      <c r="E296">
        <v>65089</v>
      </c>
      <c r="F296" t="s">
        <v>12</v>
      </c>
    </row>
    <row r="297" spans="1:22" x14ac:dyDescent="0.2">
      <c r="A297" t="s">
        <v>42</v>
      </c>
      <c r="B297" t="s">
        <v>43</v>
      </c>
      <c r="C297">
        <v>2016</v>
      </c>
      <c r="D297">
        <v>8</v>
      </c>
      <c r="E297">
        <v>73188</v>
      </c>
      <c r="F297" t="s">
        <v>12</v>
      </c>
      <c r="P297" t="s">
        <v>42</v>
      </c>
      <c r="Q297" t="s">
        <v>43</v>
      </c>
      <c r="R297" t="s">
        <v>38</v>
      </c>
      <c r="S297">
        <v>10</v>
      </c>
      <c r="T297">
        <v>5</v>
      </c>
      <c r="U297" t="s">
        <v>29</v>
      </c>
      <c r="V297" t="s">
        <v>18</v>
      </c>
    </row>
    <row r="298" spans="1:22" x14ac:dyDescent="0.2">
      <c r="A298" t="s">
        <v>42</v>
      </c>
      <c r="B298" t="s">
        <v>43</v>
      </c>
      <c r="C298">
        <v>2016</v>
      </c>
      <c r="D298">
        <v>9</v>
      </c>
      <c r="E298">
        <v>69084</v>
      </c>
      <c r="F298" t="s">
        <v>13</v>
      </c>
    </row>
    <row r="299" spans="1:22" x14ac:dyDescent="0.2">
      <c r="A299" t="s">
        <v>42</v>
      </c>
      <c r="B299" t="s">
        <v>43</v>
      </c>
      <c r="C299">
        <v>2016</v>
      </c>
      <c r="D299">
        <v>10</v>
      </c>
      <c r="E299">
        <v>66829</v>
      </c>
      <c r="F299" t="s">
        <v>12</v>
      </c>
    </row>
    <row r="300" spans="1:22" x14ac:dyDescent="0.2">
      <c r="A300" t="s">
        <v>42</v>
      </c>
      <c r="B300" t="s">
        <v>43</v>
      </c>
      <c r="C300">
        <v>2016</v>
      </c>
      <c r="D300">
        <v>11</v>
      </c>
      <c r="E300">
        <v>69190</v>
      </c>
      <c r="F300" t="s">
        <v>13</v>
      </c>
    </row>
    <row r="301" spans="1:22" x14ac:dyDescent="0.2">
      <c r="A301" t="s">
        <v>42</v>
      </c>
      <c r="B301" t="s">
        <v>43</v>
      </c>
      <c r="C301">
        <v>2016</v>
      </c>
      <c r="D301">
        <v>12</v>
      </c>
      <c r="E301">
        <v>63674</v>
      </c>
      <c r="F301" t="s">
        <v>12</v>
      </c>
    </row>
    <row r="302" spans="1:22" x14ac:dyDescent="0.2">
      <c r="A302" t="s">
        <v>42</v>
      </c>
      <c r="B302" t="s">
        <v>43</v>
      </c>
      <c r="C302">
        <v>2016</v>
      </c>
      <c r="D302">
        <v>13</v>
      </c>
      <c r="E302">
        <v>69104</v>
      </c>
      <c r="F302" t="s">
        <v>13</v>
      </c>
    </row>
    <row r="303" spans="1:22" x14ac:dyDescent="0.2">
      <c r="A303" t="s">
        <v>42</v>
      </c>
      <c r="B303" t="s">
        <v>43</v>
      </c>
      <c r="C303">
        <v>2016</v>
      </c>
      <c r="D303">
        <v>14</v>
      </c>
      <c r="E303">
        <v>78057</v>
      </c>
      <c r="F303" t="s">
        <v>12</v>
      </c>
    </row>
    <row r="304" spans="1:22" x14ac:dyDescent="0.2">
      <c r="A304" t="s">
        <v>42</v>
      </c>
      <c r="B304" t="s">
        <v>43</v>
      </c>
      <c r="C304">
        <v>2016</v>
      </c>
      <c r="D304">
        <v>15</v>
      </c>
      <c r="E304">
        <v>69067</v>
      </c>
      <c r="F304" t="s">
        <v>13</v>
      </c>
    </row>
    <row r="305" spans="1:22" x14ac:dyDescent="0.2">
      <c r="A305" t="s">
        <v>42</v>
      </c>
      <c r="B305" t="s">
        <v>43</v>
      </c>
      <c r="C305">
        <v>2016</v>
      </c>
      <c r="D305">
        <v>16</v>
      </c>
      <c r="E305">
        <v>69050</v>
      </c>
      <c r="F305" t="s">
        <v>13</v>
      </c>
    </row>
    <row r="306" spans="1:22" x14ac:dyDescent="0.2">
      <c r="A306" t="s">
        <v>42</v>
      </c>
      <c r="B306" t="s">
        <v>43</v>
      </c>
      <c r="C306">
        <v>2016</v>
      </c>
      <c r="D306">
        <v>17</v>
      </c>
      <c r="E306">
        <v>70178</v>
      </c>
      <c r="F306" t="s">
        <v>12</v>
      </c>
    </row>
    <row r="307" spans="1:22" x14ac:dyDescent="0.2">
      <c r="A307" t="s">
        <v>0</v>
      </c>
      <c r="B307" t="s">
        <v>1</v>
      </c>
      <c r="C307" t="s">
        <v>2</v>
      </c>
      <c r="D307" t="s">
        <v>3</v>
      </c>
      <c r="E307" t="s">
        <v>4</v>
      </c>
      <c r="G307">
        <f>AVERAGEIF(F290:F306,"home",E290:E306)</f>
        <v>69073.5</v>
      </c>
      <c r="P307" t="s">
        <v>0</v>
      </c>
      <c r="Q307" t="s">
        <v>1</v>
      </c>
      <c r="R307" t="s">
        <v>2</v>
      </c>
      <c r="S307" t="s">
        <v>6</v>
      </c>
      <c r="T307" t="s">
        <v>7</v>
      </c>
      <c r="U307" t="s">
        <v>8</v>
      </c>
      <c r="V307" t="s">
        <v>9</v>
      </c>
    </row>
    <row r="308" spans="1:22" x14ac:dyDescent="0.2">
      <c r="A308" t="s">
        <v>42</v>
      </c>
      <c r="B308" t="s">
        <v>43</v>
      </c>
      <c r="C308">
        <v>2017</v>
      </c>
      <c r="D308">
        <v>1</v>
      </c>
      <c r="E308">
        <v>78381</v>
      </c>
      <c r="F308" t="s">
        <v>12</v>
      </c>
    </row>
    <row r="309" spans="1:22" x14ac:dyDescent="0.2">
      <c r="A309" t="s">
        <v>42</v>
      </c>
      <c r="B309" t="s">
        <v>43</v>
      </c>
      <c r="C309">
        <v>2017</v>
      </c>
      <c r="D309">
        <v>2</v>
      </c>
      <c r="E309">
        <v>68729</v>
      </c>
      <c r="F309" t="s">
        <v>13</v>
      </c>
    </row>
    <row r="310" spans="1:22" x14ac:dyDescent="0.2">
      <c r="A310" t="s">
        <v>42</v>
      </c>
      <c r="B310" t="s">
        <v>43</v>
      </c>
      <c r="C310">
        <v>2017</v>
      </c>
      <c r="D310">
        <v>3</v>
      </c>
      <c r="E310">
        <v>69127</v>
      </c>
      <c r="F310" t="s">
        <v>12</v>
      </c>
    </row>
    <row r="311" spans="1:22" x14ac:dyDescent="0.2">
      <c r="A311" t="s">
        <v>42</v>
      </c>
      <c r="B311" t="s">
        <v>43</v>
      </c>
      <c r="C311">
        <v>2017</v>
      </c>
      <c r="D311">
        <v>4</v>
      </c>
      <c r="E311">
        <v>68872</v>
      </c>
      <c r="F311" t="s">
        <v>13</v>
      </c>
    </row>
    <row r="312" spans="1:22" x14ac:dyDescent="0.2">
      <c r="A312" t="s">
        <v>42</v>
      </c>
      <c r="B312" t="s">
        <v>43</v>
      </c>
      <c r="C312">
        <v>2017</v>
      </c>
      <c r="D312">
        <v>5</v>
      </c>
      <c r="E312">
        <v>60745</v>
      </c>
      <c r="F312" t="s">
        <v>12</v>
      </c>
    </row>
    <row r="313" spans="1:22" x14ac:dyDescent="0.2">
      <c r="A313" t="s">
        <v>42</v>
      </c>
      <c r="B313" t="s">
        <v>43</v>
      </c>
      <c r="C313">
        <v>2017</v>
      </c>
      <c r="D313">
        <v>6</v>
      </c>
      <c r="E313">
        <v>0</v>
      </c>
      <c r="F313" t="s">
        <v>46</v>
      </c>
    </row>
    <row r="314" spans="1:22" x14ac:dyDescent="0.2">
      <c r="A314" t="s">
        <v>42</v>
      </c>
      <c r="B314" t="s">
        <v>43</v>
      </c>
      <c r="C314">
        <v>2017</v>
      </c>
      <c r="D314">
        <v>7</v>
      </c>
      <c r="E314">
        <v>78527</v>
      </c>
      <c r="F314" t="s">
        <v>12</v>
      </c>
    </row>
    <row r="315" spans="1:22" x14ac:dyDescent="0.2">
      <c r="A315" t="s">
        <v>42</v>
      </c>
      <c r="B315" t="s">
        <v>43</v>
      </c>
      <c r="C315">
        <v>2017</v>
      </c>
      <c r="D315">
        <v>8</v>
      </c>
      <c r="E315">
        <v>69025</v>
      </c>
      <c r="F315" t="s">
        <v>13</v>
      </c>
      <c r="P315" t="s">
        <v>42</v>
      </c>
      <c r="Q315" t="s">
        <v>43</v>
      </c>
      <c r="R315" t="s">
        <v>39</v>
      </c>
      <c r="S315">
        <v>9</v>
      </c>
      <c r="T315">
        <v>7</v>
      </c>
      <c r="U315" t="s">
        <v>17</v>
      </c>
      <c r="V315" t="s">
        <v>18</v>
      </c>
    </row>
    <row r="316" spans="1:22" x14ac:dyDescent="0.2">
      <c r="A316" t="s">
        <v>42</v>
      </c>
      <c r="B316" t="s">
        <v>43</v>
      </c>
      <c r="C316">
        <v>2017</v>
      </c>
      <c r="D316">
        <v>9</v>
      </c>
      <c r="E316">
        <v>68927</v>
      </c>
      <c r="F316" t="s">
        <v>13</v>
      </c>
    </row>
    <row r="317" spans="1:22" x14ac:dyDescent="0.2">
      <c r="A317" t="s">
        <v>42</v>
      </c>
      <c r="B317" t="s">
        <v>43</v>
      </c>
      <c r="C317">
        <v>2017</v>
      </c>
      <c r="D317">
        <v>10</v>
      </c>
      <c r="E317">
        <v>64639</v>
      </c>
      <c r="F317" t="s">
        <v>12</v>
      </c>
    </row>
    <row r="318" spans="1:22" x14ac:dyDescent="0.2">
      <c r="A318" t="s">
        <v>42</v>
      </c>
      <c r="B318" t="s">
        <v>43</v>
      </c>
      <c r="C318">
        <v>2017</v>
      </c>
      <c r="D318">
        <v>11</v>
      </c>
      <c r="E318">
        <v>69026</v>
      </c>
      <c r="F318" t="s">
        <v>13</v>
      </c>
    </row>
    <row r="319" spans="1:22" x14ac:dyDescent="0.2">
      <c r="A319" t="s">
        <v>42</v>
      </c>
      <c r="B319" t="s">
        <v>43</v>
      </c>
      <c r="C319">
        <v>2017</v>
      </c>
      <c r="D319">
        <v>12</v>
      </c>
      <c r="E319">
        <v>70134</v>
      </c>
      <c r="F319" t="s">
        <v>12</v>
      </c>
    </row>
    <row r="320" spans="1:22" x14ac:dyDescent="0.2">
      <c r="A320" t="s">
        <v>42</v>
      </c>
      <c r="B320" t="s">
        <v>43</v>
      </c>
      <c r="C320">
        <v>2017</v>
      </c>
      <c r="D320">
        <v>13</v>
      </c>
      <c r="E320">
        <v>69075</v>
      </c>
      <c r="F320" t="s">
        <v>13</v>
      </c>
    </row>
    <row r="321" spans="1:22" x14ac:dyDescent="0.2">
      <c r="A321" t="s">
        <v>42</v>
      </c>
      <c r="B321" t="s">
        <v>43</v>
      </c>
      <c r="C321">
        <v>2017</v>
      </c>
      <c r="D321">
        <v>14</v>
      </c>
      <c r="E321">
        <v>64431</v>
      </c>
      <c r="F321" t="s">
        <v>12</v>
      </c>
    </row>
    <row r="322" spans="1:22" x14ac:dyDescent="0.2">
      <c r="A322" t="s">
        <v>42</v>
      </c>
      <c r="B322" t="s">
        <v>43</v>
      </c>
      <c r="C322">
        <v>2017</v>
      </c>
      <c r="D322">
        <v>15</v>
      </c>
      <c r="E322">
        <v>69077</v>
      </c>
      <c r="F322" t="s">
        <v>13</v>
      </c>
    </row>
    <row r="323" spans="1:22" x14ac:dyDescent="0.2">
      <c r="A323" t="s">
        <v>42</v>
      </c>
      <c r="B323" t="s">
        <v>43</v>
      </c>
      <c r="C323">
        <v>2017</v>
      </c>
      <c r="D323">
        <v>16</v>
      </c>
      <c r="E323">
        <v>92150</v>
      </c>
      <c r="F323" t="s">
        <v>12</v>
      </c>
    </row>
    <row r="324" spans="1:22" x14ac:dyDescent="0.2">
      <c r="A324" t="s">
        <v>42</v>
      </c>
      <c r="B324" t="s">
        <v>43</v>
      </c>
      <c r="C324">
        <v>2017</v>
      </c>
      <c r="D324">
        <v>17</v>
      </c>
      <c r="E324">
        <v>69078</v>
      </c>
      <c r="F324" t="s">
        <v>13</v>
      </c>
      <c r="G324">
        <f>AVERAGEIF(F308:F324,"home",E308:E324)</f>
        <v>68976.125</v>
      </c>
    </row>
    <row r="325" spans="1:22" x14ac:dyDescent="0.2">
      <c r="A325" t="s">
        <v>0</v>
      </c>
      <c r="B325" t="s">
        <v>1</v>
      </c>
      <c r="C325" t="s">
        <v>2</v>
      </c>
      <c r="D325" t="s">
        <v>3</v>
      </c>
      <c r="E325" t="s">
        <v>4</v>
      </c>
      <c r="P325" t="s">
        <v>0</v>
      </c>
      <c r="Q325" t="s">
        <v>1</v>
      </c>
      <c r="R325" t="s">
        <v>2</v>
      </c>
      <c r="S325" t="s">
        <v>6</v>
      </c>
      <c r="T325" t="s">
        <v>7</v>
      </c>
      <c r="U325" t="s">
        <v>8</v>
      </c>
      <c r="V325" t="s">
        <v>9</v>
      </c>
    </row>
    <row r="326" spans="1:22" x14ac:dyDescent="0.2">
      <c r="A326" t="s">
        <v>42</v>
      </c>
      <c r="B326" t="s">
        <v>43</v>
      </c>
      <c r="C326">
        <v>2018</v>
      </c>
      <c r="D326">
        <v>1</v>
      </c>
      <c r="E326">
        <v>76761</v>
      </c>
      <c r="F326" t="s">
        <v>12</v>
      </c>
    </row>
    <row r="327" spans="1:22" x14ac:dyDescent="0.2">
      <c r="A327" t="s">
        <v>42</v>
      </c>
      <c r="B327" t="s">
        <v>43</v>
      </c>
      <c r="C327">
        <v>2018</v>
      </c>
      <c r="D327">
        <v>2</v>
      </c>
      <c r="E327">
        <v>57960</v>
      </c>
      <c r="F327" t="s">
        <v>12</v>
      </c>
    </row>
    <row r="328" spans="1:22" x14ac:dyDescent="0.2">
      <c r="A328" t="s">
        <v>42</v>
      </c>
      <c r="B328" t="s">
        <v>43</v>
      </c>
      <c r="C328">
        <v>2018</v>
      </c>
      <c r="D328">
        <v>3</v>
      </c>
      <c r="E328">
        <v>69047</v>
      </c>
      <c r="F328" t="s">
        <v>13</v>
      </c>
    </row>
    <row r="329" spans="1:22" x14ac:dyDescent="0.2">
      <c r="A329" t="s">
        <v>42</v>
      </c>
      <c r="B329" t="s">
        <v>43</v>
      </c>
      <c r="C329">
        <v>2018</v>
      </c>
      <c r="D329">
        <v>4</v>
      </c>
      <c r="E329">
        <v>61845</v>
      </c>
      <c r="F329" t="s">
        <v>12</v>
      </c>
    </row>
    <row r="330" spans="1:22" x14ac:dyDescent="0.2">
      <c r="A330" t="s">
        <v>42</v>
      </c>
      <c r="B330" t="s">
        <v>43</v>
      </c>
      <c r="C330">
        <v>2018</v>
      </c>
      <c r="D330">
        <v>5</v>
      </c>
      <c r="E330">
        <v>68893</v>
      </c>
      <c r="F330" t="s">
        <v>13</v>
      </c>
    </row>
    <row r="331" spans="1:22" x14ac:dyDescent="0.2">
      <c r="A331" t="s">
        <v>42</v>
      </c>
      <c r="B331" t="s">
        <v>43</v>
      </c>
      <c r="C331">
        <v>2018</v>
      </c>
      <c r="D331">
        <v>6</v>
      </c>
      <c r="E331">
        <v>84922</v>
      </c>
      <c r="F331" t="s">
        <v>12</v>
      </c>
    </row>
    <row r="332" spans="1:22" x14ac:dyDescent="0.2">
      <c r="A332" t="s">
        <v>42</v>
      </c>
      <c r="B332" t="s">
        <v>43</v>
      </c>
      <c r="C332">
        <v>2018</v>
      </c>
      <c r="D332">
        <v>7</v>
      </c>
      <c r="E332">
        <v>0</v>
      </c>
      <c r="F332" t="s">
        <v>14</v>
      </c>
    </row>
    <row r="333" spans="1:22" x14ac:dyDescent="0.2">
      <c r="A333" t="s">
        <v>42</v>
      </c>
      <c r="B333" t="s">
        <v>43</v>
      </c>
      <c r="C333">
        <v>2018</v>
      </c>
      <c r="D333">
        <v>8</v>
      </c>
      <c r="E333">
        <v>65237</v>
      </c>
      <c r="F333" t="s">
        <v>12</v>
      </c>
      <c r="P333" t="s">
        <v>42</v>
      </c>
      <c r="Q333" t="s">
        <v>43</v>
      </c>
      <c r="R333" t="s">
        <v>40</v>
      </c>
      <c r="S333">
        <v>10</v>
      </c>
      <c r="T333">
        <v>6</v>
      </c>
      <c r="U333" t="s">
        <v>29</v>
      </c>
      <c r="V333" t="s">
        <v>18</v>
      </c>
    </row>
    <row r="334" spans="1:22" x14ac:dyDescent="0.2">
      <c r="A334" t="s">
        <v>42</v>
      </c>
      <c r="B334" t="s">
        <v>43</v>
      </c>
      <c r="C334">
        <v>2018</v>
      </c>
      <c r="D334">
        <v>9</v>
      </c>
      <c r="E334">
        <v>68989</v>
      </c>
      <c r="F334" t="s">
        <v>13</v>
      </c>
    </row>
    <row r="335" spans="1:22" x14ac:dyDescent="0.2">
      <c r="A335" t="s">
        <v>42</v>
      </c>
      <c r="B335" t="s">
        <v>43</v>
      </c>
      <c r="C335">
        <v>2018</v>
      </c>
      <c r="D335">
        <v>10</v>
      </c>
      <c r="E335">
        <v>72755</v>
      </c>
      <c r="F335" t="s">
        <v>12</v>
      </c>
    </row>
    <row r="336" spans="1:22" x14ac:dyDescent="0.2">
      <c r="A336" t="s">
        <v>42</v>
      </c>
      <c r="B336" t="s">
        <v>43</v>
      </c>
      <c r="C336">
        <v>2018</v>
      </c>
      <c r="D336">
        <v>11</v>
      </c>
      <c r="E336">
        <v>69007</v>
      </c>
      <c r="F336" t="s">
        <v>13</v>
      </c>
    </row>
    <row r="337" spans="1:22" x14ac:dyDescent="0.2">
      <c r="A337" t="s">
        <v>42</v>
      </c>
      <c r="B337" t="s">
        <v>43</v>
      </c>
      <c r="C337">
        <v>2018</v>
      </c>
      <c r="D337">
        <v>12</v>
      </c>
      <c r="E337">
        <v>74002</v>
      </c>
      <c r="F337" t="s">
        <v>12</v>
      </c>
    </row>
    <row r="338" spans="1:22" x14ac:dyDescent="0.2">
      <c r="A338" t="s">
        <v>42</v>
      </c>
      <c r="B338" t="s">
        <v>43</v>
      </c>
      <c r="C338">
        <v>2018</v>
      </c>
      <c r="D338">
        <v>13</v>
      </c>
      <c r="E338">
        <v>69009</v>
      </c>
      <c r="F338" t="s">
        <v>13</v>
      </c>
    </row>
    <row r="339" spans="1:22" x14ac:dyDescent="0.2">
      <c r="A339" t="s">
        <v>42</v>
      </c>
      <c r="B339" t="s">
        <v>43</v>
      </c>
      <c r="C339">
        <v>2018</v>
      </c>
      <c r="D339">
        <v>14</v>
      </c>
      <c r="E339">
        <v>69007</v>
      </c>
      <c r="F339" t="s">
        <v>13</v>
      </c>
    </row>
    <row r="340" spans="1:22" x14ac:dyDescent="0.2">
      <c r="A340" t="s">
        <v>42</v>
      </c>
      <c r="B340" t="s">
        <v>43</v>
      </c>
      <c r="C340">
        <v>2018</v>
      </c>
      <c r="D340">
        <v>15</v>
      </c>
      <c r="E340">
        <v>68836</v>
      </c>
      <c r="F340" t="s">
        <v>12</v>
      </c>
    </row>
    <row r="341" spans="1:22" x14ac:dyDescent="0.2">
      <c r="A341" t="s">
        <v>42</v>
      </c>
      <c r="B341" t="s">
        <v>43</v>
      </c>
      <c r="C341">
        <v>2018</v>
      </c>
      <c r="D341">
        <v>16</v>
      </c>
      <c r="E341">
        <v>69067</v>
      </c>
      <c r="F341" t="s">
        <v>13</v>
      </c>
    </row>
    <row r="342" spans="1:22" x14ac:dyDescent="0.2">
      <c r="A342" t="s">
        <v>42</v>
      </c>
      <c r="B342" t="s">
        <v>43</v>
      </c>
      <c r="C342">
        <v>2018</v>
      </c>
      <c r="D342">
        <v>17</v>
      </c>
      <c r="E342">
        <v>68990</v>
      </c>
      <c r="F342" t="s">
        <v>13</v>
      </c>
    </row>
    <row r="343" spans="1:22" x14ac:dyDescent="0.2">
      <c r="A343" t="s">
        <v>0</v>
      </c>
      <c r="B343" t="s">
        <v>1</v>
      </c>
      <c r="C343" t="s">
        <v>2</v>
      </c>
      <c r="D343" t="s">
        <v>3</v>
      </c>
      <c r="E343" t="s">
        <v>4</v>
      </c>
      <c r="G343">
        <f>AVERAGEIF(F326:F342,"home",E326:E342)</f>
        <v>69001.125</v>
      </c>
      <c r="P343" t="s">
        <v>0</v>
      </c>
      <c r="Q343" t="s">
        <v>1</v>
      </c>
      <c r="R343" t="s">
        <v>2</v>
      </c>
      <c r="S343" t="s">
        <v>6</v>
      </c>
      <c r="T343" t="s">
        <v>7</v>
      </c>
      <c r="U343" t="s">
        <v>8</v>
      </c>
      <c r="V343" t="s">
        <v>9</v>
      </c>
    </row>
    <row r="344" spans="1:22" x14ac:dyDescent="0.2">
      <c r="A344" t="s">
        <v>42</v>
      </c>
      <c r="B344" t="s">
        <v>43</v>
      </c>
      <c r="C344">
        <v>2019</v>
      </c>
      <c r="D344">
        <v>1</v>
      </c>
      <c r="E344">
        <v>68710</v>
      </c>
      <c r="F344" t="s">
        <v>13</v>
      </c>
    </row>
    <row r="345" spans="1:22" x14ac:dyDescent="0.2">
      <c r="A345" t="s">
        <v>42</v>
      </c>
      <c r="B345" t="s">
        <v>43</v>
      </c>
      <c r="C345">
        <v>2019</v>
      </c>
      <c r="D345">
        <v>2</v>
      </c>
      <c r="E345">
        <v>65063</v>
      </c>
      <c r="F345" t="s">
        <v>12</v>
      </c>
    </row>
    <row r="346" spans="1:22" x14ac:dyDescent="0.2">
      <c r="A346" t="s">
        <v>42</v>
      </c>
      <c r="B346" t="s">
        <v>43</v>
      </c>
      <c r="C346">
        <v>2019</v>
      </c>
      <c r="D346">
        <v>3</v>
      </c>
      <c r="E346">
        <v>69005</v>
      </c>
      <c r="F346" t="s">
        <v>13</v>
      </c>
    </row>
    <row r="347" spans="1:22" x14ac:dyDescent="0.2">
      <c r="A347" t="s">
        <v>42</v>
      </c>
      <c r="B347" t="s">
        <v>43</v>
      </c>
      <c r="C347">
        <v>2019</v>
      </c>
      <c r="D347">
        <v>4</v>
      </c>
      <c r="E347">
        <v>60500</v>
      </c>
      <c r="F347" t="s">
        <v>12</v>
      </c>
    </row>
    <row r="348" spans="1:22" x14ac:dyDescent="0.2">
      <c r="A348" t="s">
        <v>42</v>
      </c>
      <c r="B348" t="s">
        <v>43</v>
      </c>
      <c r="C348">
        <v>2019</v>
      </c>
      <c r="D348">
        <v>5</v>
      </c>
      <c r="E348">
        <v>68988</v>
      </c>
      <c r="F348" t="s">
        <v>13</v>
      </c>
    </row>
    <row r="349" spans="1:22" x14ac:dyDescent="0.2">
      <c r="A349" t="s">
        <v>42</v>
      </c>
      <c r="B349" t="s">
        <v>43</v>
      </c>
      <c r="C349">
        <v>2019</v>
      </c>
      <c r="D349">
        <v>6</v>
      </c>
      <c r="E349">
        <v>67431</v>
      </c>
      <c r="F349" t="s">
        <v>12</v>
      </c>
    </row>
    <row r="350" spans="1:22" x14ac:dyDescent="0.2">
      <c r="A350" t="s">
        <v>42</v>
      </c>
      <c r="B350" t="s">
        <v>43</v>
      </c>
      <c r="C350">
        <v>2019</v>
      </c>
      <c r="D350">
        <v>7</v>
      </c>
      <c r="E350">
        <v>69012</v>
      </c>
      <c r="F350" t="s">
        <v>13</v>
      </c>
    </row>
    <row r="351" spans="1:22" x14ac:dyDescent="0.2">
      <c r="A351" t="s">
        <v>42</v>
      </c>
      <c r="B351" t="s">
        <v>43</v>
      </c>
      <c r="C351">
        <v>2019</v>
      </c>
      <c r="D351">
        <v>8</v>
      </c>
      <c r="E351">
        <v>71483</v>
      </c>
      <c r="F351" t="s">
        <v>12</v>
      </c>
      <c r="P351" t="s">
        <v>42</v>
      </c>
      <c r="Q351" t="s">
        <v>43</v>
      </c>
      <c r="R351" t="s">
        <v>41</v>
      </c>
      <c r="S351">
        <v>11</v>
      </c>
      <c r="T351">
        <v>5</v>
      </c>
      <c r="U351" t="s">
        <v>29</v>
      </c>
      <c r="V351" t="s">
        <v>18</v>
      </c>
    </row>
    <row r="352" spans="1:22" x14ac:dyDescent="0.2">
      <c r="A352" t="s">
        <v>42</v>
      </c>
      <c r="B352" t="s">
        <v>43</v>
      </c>
      <c r="C352">
        <v>2019</v>
      </c>
      <c r="D352">
        <v>9</v>
      </c>
      <c r="E352">
        <v>68948</v>
      </c>
      <c r="F352" t="s">
        <v>13</v>
      </c>
    </row>
    <row r="353" spans="1:7" x14ac:dyDescent="0.2">
      <c r="A353" t="s">
        <v>42</v>
      </c>
      <c r="B353" t="s">
        <v>43</v>
      </c>
      <c r="C353">
        <v>2019</v>
      </c>
      <c r="D353">
        <v>10</v>
      </c>
      <c r="E353">
        <v>71404</v>
      </c>
      <c r="F353" t="s">
        <v>12</v>
      </c>
    </row>
    <row r="354" spans="1:7" x14ac:dyDescent="0.2">
      <c r="A354" t="s">
        <v>42</v>
      </c>
      <c r="B354" t="s">
        <v>43</v>
      </c>
      <c r="C354">
        <v>2019</v>
      </c>
      <c r="D354">
        <v>11</v>
      </c>
      <c r="E354">
        <v>0</v>
      </c>
      <c r="F354" t="s">
        <v>14</v>
      </c>
    </row>
    <row r="355" spans="1:7" x14ac:dyDescent="0.2">
      <c r="A355" t="s">
        <v>42</v>
      </c>
      <c r="B355" t="s">
        <v>43</v>
      </c>
      <c r="C355">
        <v>2019</v>
      </c>
      <c r="D355">
        <v>12</v>
      </c>
      <c r="E355">
        <v>69796</v>
      </c>
      <c r="F355" t="s">
        <v>12</v>
      </c>
    </row>
    <row r="356" spans="1:7" x14ac:dyDescent="0.2">
      <c r="A356" t="s">
        <v>42</v>
      </c>
      <c r="B356" t="s">
        <v>43</v>
      </c>
      <c r="C356">
        <v>2019</v>
      </c>
      <c r="D356">
        <v>13</v>
      </c>
      <c r="E356">
        <v>69080</v>
      </c>
      <c r="F356" t="s">
        <v>13</v>
      </c>
    </row>
    <row r="357" spans="1:7" x14ac:dyDescent="0.2">
      <c r="A357" t="s">
        <v>42</v>
      </c>
      <c r="B357" t="s">
        <v>43</v>
      </c>
      <c r="C357">
        <v>2019</v>
      </c>
      <c r="D357">
        <v>14</v>
      </c>
      <c r="E357">
        <v>71501</v>
      </c>
      <c r="F357" t="s">
        <v>12</v>
      </c>
    </row>
    <row r="358" spans="1:7" x14ac:dyDescent="0.2">
      <c r="A358" t="s">
        <v>42</v>
      </c>
      <c r="B358" t="s">
        <v>43</v>
      </c>
      <c r="C358">
        <v>2019</v>
      </c>
      <c r="D358">
        <v>15</v>
      </c>
      <c r="E358">
        <v>72544</v>
      </c>
      <c r="F358" t="s">
        <v>12</v>
      </c>
    </row>
    <row r="359" spans="1:7" x14ac:dyDescent="0.2">
      <c r="A359" t="s">
        <v>42</v>
      </c>
      <c r="B359" t="s">
        <v>43</v>
      </c>
      <c r="C359">
        <v>2019</v>
      </c>
      <c r="D359">
        <v>16</v>
      </c>
      <c r="E359">
        <v>69022</v>
      </c>
      <c r="F359" t="s">
        <v>13</v>
      </c>
    </row>
    <row r="360" spans="1:7" x14ac:dyDescent="0.2">
      <c r="A360" t="s">
        <v>42</v>
      </c>
      <c r="B360" t="s">
        <v>43</v>
      </c>
      <c r="C360">
        <v>2019</v>
      </c>
      <c r="D360">
        <v>17</v>
      </c>
      <c r="E360">
        <v>69162</v>
      </c>
      <c r="F360" t="s">
        <v>13</v>
      </c>
    </row>
    <row r="361" spans="1:7" x14ac:dyDescent="0.2">
      <c r="G361">
        <f>AVERAGEIF(F344:F360,"home",E344:E360)</f>
        <v>68990.875</v>
      </c>
    </row>
  </sheetData>
  <pageMargins left="0.7" right="0.7" top="0.75" bottom="0.75" header="0.3" footer="0.3"/>
  <pageSetup orientation="portrait" horizontalDpi="0" verticalDpi="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1E4C6-D719-4716-AFB1-5B2CF5899953}">
  <sheetPr codeName="Sheet3"/>
  <dimension ref="A1:V361"/>
  <sheetViews>
    <sheetView topLeftCell="A336" workbookViewId="0">
      <selection activeCell="S351" sqref="S351"/>
    </sheetView>
  </sheetViews>
  <sheetFormatPr baseColWidth="10" defaultColWidth="8.6640625" defaultRowHeight="15" x14ac:dyDescent="0.2"/>
  <cols>
    <col min="5" max="5" width="17" bestFit="1" customWidth="1"/>
    <col min="6" max="6" width="11.1640625" bestFit="1" customWidth="1"/>
    <col min="16" max="16" width="10.5" bestFit="1" customWidth="1"/>
    <col min="17" max="17" width="10.6640625" bestFit="1" customWidth="1"/>
    <col min="18" max="18" width="10.5" bestFit="1" customWidth="1"/>
    <col min="21" max="21" width="10.5" bestFit="1" customWidth="1"/>
    <col min="22" max="22" width="20.5" bestFit="1" customWidth="1"/>
  </cols>
  <sheetData>
    <row r="1" spans="1:22" x14ac:dyDescent="0.2">
      <c r="A1" t="s">
        <v>0</v>
      </c>
      <c r="B1" t="s">
        <v>1</v>
      </c>
      <c r="C1" t="s">
        <v>2</v>
      </c>
      <c r="D1" t="s">
        <v>3</v>
      </c>
      <c r="E1" t="s">
        <v>4</v>
      </c>
      <c r="F1" t="s">
        <v>5</v>
      </c>
      <c r="P1" t="s">
        <v>0</v>
      </c>
      <c r="Q1" t="s">
        <v>1</v>
      </c>
      <c r="R1" t="s">
        <v>2</v>
      </c>
      <c r="S1" t="s">
        <v>6</v>
      </c>
      <c r="T1" t="s">
        <v>7</v>
      </c>
      <c r="U1" t="s">
        <v>8</v>
      </c>
      <c r="V1" t="s">
        <v>9</v>
      </c>
    </row>
    <row r="2" spans="1:22" x14ac:dyDescent="0.2">
      <c r="A2" t="s">
        <v>48</v>
      </c>
      <c r="B2" t="s">
        <v>49</v>
      </c>
      <c r="C2">
        <v>2000</v>
      </c>
      <c r="D2">
        <v>1</v>
      </c>
      <c r="E2">
        <v>65956</v>
      </c>
      <c r="F2" t="s">
        <v>15</v>
      </c>
    </row>
    <row r="3" spans="1:22" x14ac:dyDescent="0.2">
      <c r="A3" t="s">
        <v>48</v>
      </c>
      <c r="B3" t="s">
        <v>49</v>
      </c>
      <c r="C3">
        <v>2000</v>
      </c>
      <c r="D3">
        <v>2</v>
      </c>
      <c r="E3">
        <v>64869</v>
      </c>
      <c r="F3" t="s">
        <v>44</v>
      </c>
    </row>
    <row r="4" spans="1:22" x14ac:dyDescent="0.2">
      <c r="A4" t="s">
        <v>48</v>
      </c>
      <c r="B4" t="s">
        <v>49</v>
      </c>
      <c r="C4">
        <v>2000</v>
      </c>
      <c r="D4">
        <v>3</v>
      </c>
      <c r="E4">
        <v>65945</v>
      </c>
      <c r="F4" t="s">
        <v>15</v>
      </c>
    </row>
    <row r="5" spans="1:22" x14ac:dyDescent="0.2">
      <c r="A5" t="s">
        <v>48</v>
      </c>
      <c r="B5" t="s">
        <v>49</v>
      </c>
      <c r="C5">
        <v>2000</v>
      </c>
      <c r="D5">
        <v>4</v>
      </c>
      <c r="E5">
        <v>58761</v>
      </c>
      <c r="F5" t="s">
        <v>44</v>
      </c>
    </row>
    <row r="6" spans="1:22" x14ac:dyDescent="0.2">
      <c r="A6" t="s">
        <v>48</v>
      </c>
      <c r="B6" t="s">
        <v>49</v>
      </c>
      <c r="C6">
        <v>2000</v>
      </c>
      <c r="D6">
        <v>5</v>
      </c>
      <c r="E6">
        <v>66010</v>
      </c>
      <c r="F6" t="s">
        <v>15</v>
      </c>
    </row>
    <row r="7" spans="1:22" x14ac:dyDescent="0.2">
      <c r="A7" t="s">
        <v>48</v>
      </c>
      <c r="B7" t="s">
        <v>49</v>
      </c>
      <c r="C7">
        <v>2000</v>
      </c>
      <c r="D7">
        <v>6</v>
      </c>
      <c r="E7">
        <v>0</v>
      </c>
      <c r="F7" t="s">
        <v>14</v>
      </c>
    </row>
    <row r="8" spans="1:22" x14ac:dyDescent="0.2">
      <c r="A8" t="s">
        <v>48</v>
      </c>
      <c r="B8" t="s">
        <v>49</v>
      </c>
      <c r="C8">
        <v>2000</v>
      </c>
      <c r="D8">
        <v>7</v>
      </c>
      <c r="E8">
        <v>66019</v>
      </c>
      <c r="F8" t="s">
        <v>15</v>
      </c>
    </row>
    <row r="9" spans="1:22" x14ac:dyDescent="0.2">
      <c r="A9" t="s">
        <v>48</v>
      </c>
      <c r="B9" t="s">
        <v>49</v>
      </c>
      <c r="C9">
        <v>2000</v>
      </c>
      <c r="D9">
        <v>8</v>
      </c>
      <c r="E9">
        <v>79142</v>
      </c>
      <c r="F9" t="s">
        <v>44</v>
      </c>
      <c r="P9" t="s">
        <v>48</v>
      </c>
      <c r="Q9" t="s">
        <v>49</v>
      </c>
      <c r="R9" t="s">
        <v>16</v>
      </c>
      <c r="S9">
        <v>10</v>
      </c>
      <c r="T9">
        <v>6</v>
      </c>
      <c r="U9" t="s">
        <v>29</v>
      </c>
      <c r="V9" t="s">
        <v>18</v>
      </c>
    </row>
    <row r="10" spans="1:22" x14ac:dyDescent="0.2">
      <c r="A10" t="s">
        <v>48</v>
      </c>
      <c r="B10" t="s">
        <v>49</v>
      </c>
      <c r="C10">
        <v>2000</v>
      </c>
      <c r="D10">
        <v>9</v>
      </c>
      <c r="E10">
        <v>68109</v>
      </c>
      <c r="F10" t="s">
        <v>44</v>
      </c>
    </row>
    <row r="11" spans="1:22" x14ac:dyDescent="0.2">
      <c r="A11" t="s">
        <v>48</v>
      </c>
      <c r="B11" t="s">
        <v>49</v>
      </c>
      <c r="C11">
        <v>2000</v>
      </c>
      <c r="D11">
        <v>10</v>
      </c>
      <c r="E11">
        <v>66048</v>
      </c>
      <c r="F11" t="s">
        <v>15</v>
      </c>
    </row>
    <row r="12" spans="1:22" x14ac:dyDescent="0.2">
      <c r="A12" t="s">
        <v>48</v>
      </c>
      <c r="B12" t="s">
        <v>49</v>
      </c>
      <c r="C12">
        <v>2000</v>
      </c>
      <c r="D12">
        <v>11</v>
      </c>
      <c r="E12">
        <v>78174</v>
      </c>
      <c r="F12" t="s">
        <v>44</v>
      </c>
    </row>
    <row r="13" spans="1:22" x14ac:dyDescent="0.2">
      <c r="A13" t="s">
        <v>48</v>
      </c>
      <c r="B13" t="s">
        <v>49</v>
      </c>
      <c r="C13">
        <v>2000</v>
      </c>
      <c r="D13">
        <v>12</v>
      </c>
      <c r="E13">
        <v>66087</v>
      </c>
      <c r="F13" t="s">
        <v>15</v>
      </c>
    </row>
    <row r="14" spans="1:22" x14ac:dyDescent="0.2">
      <c r="A14" t="s">
        <v>48</v>
      </c>
      <c r="B14" t="s">
        <v>49</v>
      </c>
      <c r="C14">
        <v>2000</v>
      </c>
      <c r="D14">
        <v>13</v>
      </c>
      <c r="E14">
        <v>66064</v>
      </c>
      <c r="F14" t="s">
        <v>15</v>
      </c>
    </row>
    <row r="15" spans="1:22" x14ac:dyDescent="0.2">
      <c r="A15" t="s">
        <v>48</v>
      </c>
      <c r="B15" t="s">
        <v>49</v>
      </c>
      <c r="C15">
        <v>2000</v>
      </c>
      <c r="D15">
        <v>14</v>
      </c>
      <c r="E15">
        <v>73358</v>
      </c>
      <c r="F15" t="s">
        <v>44</v>
      </c>
    </row>
    <row r="16" spans="1:22" x14ac:dyDescent="0.2">
      <c r="A16" t="s">
        <v>48</v>
      </c>
      <c r="B16" t="s">
        <v>49</v>
      </c>
      <c r="C16">
        <v>2000</v>
      </c>
      <c r="D16">
        <v>15</v>
      </c>
      <c r="E16">
        <v>66273</v>
      </c>
      <c r="F16" t="s">
        <v>15</v>
      </c>
    </row>
    <row r="17" spans="1:22" x14ac:dyDescent="0.2">
      <c r="A17" t="s">
        <v>48</v>
      </c>
      <c r="B17" t="s">
        <v>49</v>
      </c>
      <c r="C17">
        <v>2000</v>
      </c>
      <c r="D17">
        <v>16</v>
      </c>
      <c r="E17">
        <v>65653</v>
      </c>
      <c r="F17" t="s">
        <v>44</v>
      </c>
    </row>
    <row r="18" spans="1:22" x14ac:dyDescent="0.2">
      <c r="A18" t="s">
        <v>48</v>
      </c>
      <c r="B18" t="s">
        <v>49</v>
      </c>
      <c r="C18">
        <v>2000</v>
      </c>
      <c r="D18">
        <v>17</v>
      </c>
      <c r="E18">
        <v>64900</v>
      </c>
      <c r="F18" t="s">
        <v>44</v>
      </c>
      <c r="G18">
        <f>AVERAGEIF(F2:F18,"home",E2:E18)</f>
        <v>66050.25</v>
      </c>
    </row>
    <row r="19" spans="1:22" x14ac:dyDescent="0.2">
      <c r="A19" t="s">
        <v>0</v>
      </c>
      <c r="B19" t="s">
        <v>1</v>
      </c>
      <c r="C19" t="s">
        <v>2</v>
      </c>
      <c r="D19" t="s">
        <v>3</v>
      </c>
      <c r="E19" t="s">
        <v>4</v>
      </c>
      <c r="P19" t="s">
        <v>0</v>
      </c>
      <c r="Q19" t="s">
        <v>1</v>
      </c>
      <c r="R19" t="s">
        <v>2</v>
      </c>
      <c r="S19" t="s">
        <v>6</v>
      </c>
      <c r="T19" t="s">
        <v>7</v>
      </c>
      <c r="U19" t="s">
        <v>8</v>
      </c>
      <c r="V19" t="s">
        <v>9</v>
      </c>
    </row>
    <row r="20" spans="1:22" x14ac:dyDescent="0.2">
      <c r="A20" t="s">
        <v>48</v>
      </c>
      <c r="B20" t="s">
        <v>49</v>
      </c>
      <c r="C20">
        <v>2001</v>
      </c>
      <c r="D20">
        <v>1</v>
      </c>
      <c r="E20">
        <v>66243</v>
      </c>
      <c r="F20" t="s">
        <v>44</v>
      </c>
    </row>
    <row r="21" spans="1:22" x14ac:dyDescent="0.2">
      <c r="A21" t="s">
        <v>48</v>
      </c>
      <c r="B21" t="s">
        <v>49</v>
      </c>
      <c r="C21">
        <v>2001</v>
      </c>
      <c r="D21">
        <v>2</v>
      </c>
      <c r="E21">
        <v>67536</v>
      </c>
      <c r="F21" t="s">
        <v>44</v>
      </c>
    </row>
    <row r="22" spans="1:22" x14ac:dyDescent="0.2">
      <c r="A22" t="s">
        <v>48</v>
      </c>
      <c r="B22" t="s">
        <v>49</v>
      </c>
      <c r="C22">
        <v>2001</v>
      </c>
      <c r="D22">
        <v>3</v>
      </c>
      <c r="E22">
        <v>66046</v>
      </c>
      <c r="F22" t="s">
        <v>15</v>
      </c>
    </row>
    <row r="23" spans="1:22" x14ac:dyDescent="0.2">
      <c r="A23" t="s">
        <v>48</v>
      </c>
      <c r="B23" t="s">
        <v>49</v>
      </c>
      <c r="C23">
        <v>2001</v>
      </c>
      <c r="D23">
        <v>4</v>
      </c>
      <c r="E23">
        <v>77765</v>
      </c>
      <c r="F23" t="s">
        <v>44</v>
      </c>
    </row>
    <row r="24" spans="1:22" x14ac:dyDescent="0.2">
      <c r="A24" t="s">
        <v>48</v>
      </c>
      <c r="B24" t="s">
        <v>49</v>
      </c>
      <c r="C24">
        <v>2001</v>
      </c>
      <c r="D24">
        <v>5</v>
      </c>
      <c r="E24">
        <v>65992</v>
      </c>
      <c r="F24" t="s">
        <v>15</v>
      </c>
    </row>
    <row r="25" spans="1:22" x14ac:dyDescent="0.2">
      <c r="A25" t="s">
        <v>48</v>
      </c>
      <c r="B25" t="s">
        <v>49</v>
      </c>
      <c r="C25">
        <v>2001</v>
      </c>
      <c r="D25">
        <v>6</v>
      </c>
      <c r="E25">
        <v>78766</v>
      </c>
      <c r="F25" t="s">
        <v>44</v>
      </c>
    </row>
    <row r="26" spans="1:22" x14ac:dyDescent="0.2">
      <c r="A26" t="s">
        <v>48</v>
      </c>
      <c r="B26" t="s">
        <v>49</v>
      </c>
      <c r="C26">
        <v>2001</v>
      </c>
      <c r="D26">
        <v>7</v>
      </c>
      <c r="E26">
        <v>66189</v>
      </c>
      <c r="F26" t="s">
        <v>15</v>
      </c>
    </row>
    <row r="27" spans="1:22" x14ac:dyDescent="0.2">
      <c r="A27" t="s">
        <v>48</v>
      </c>
      <c r="B27" t="s">
        <v>49</v>
      </c>
      <c r="C27">
        <v>2001</v>
      </c>
      <c r="D27">
        <v>8</v>
      </c>
      <c r="E27">
        <v>0</v>
      </c>
      <c r="F27" t="s">
        <v>14</v>
      </c>
      <c r="P27" t="s">
        <v>48</v>
      </c>
      <c r="Q27" t="s">
        <v>49</v>
      </c>
      <c r="R27" t="s">
        <v>19</v>
      </c>
      <c r="S27">
        <v>14</v>
      </c>
      <c r="T27">
        <v>2</v>
      </c>
      <c r="U27" t="s">
        <v>29</v>
      </c>
      <c r="V27" t="s">
        <v>30</v>
      </c>
    </row>
    <row r="28" spans="1:22" x14ac:dyDescent="0.2">
      <c r="A28" t="s">
        <v>48</v>
      </c>
      <c r="B28" t="s">
        <v>49</v>
      </c>
      <c r="C28">
        <v>2001</v>
      </c>
      <c r="D28">
        <v>9</v>
      </c>
      <c r="E28">
        <v>66069</v>
      </c>
      <c r="F28" t="s">
        <v>15</v>
      </c>
    </row>
    <row r="29" spans="1:22" x14ac:dyDescent="0.2">
      <c r="A29" t="s">
        <v>48</v>
      </c>
      <c r="B29" t="s">
        <v>49</v>
      </c>
      <c r="C29">
        <v>2001</v>
      </c>
      <c r="D29">
        <v>10</v>
      </c>
      <c r="E29">
        <v>60292</v>
      </c>
      <c r="F29" t="s">
        <v>44</v>
      </c>
    </row>
    <row r="30" spans="1:22" x14ac:dyDescent="0.2">
      <c r="A30" t="s">
        <v>48</v>
      </c>
      <c r="B30" t="s">
        <v>49</v>
      </c>
      <c r="C30">
        <v>2001</v>
      </c>
      <c r="D30">
        <v>11</v>
      </c>
      <c r="E30">
        <v>66198</v>
      </c>
      <c r="F30" t="s">
        <v>15</v>
      </c>
    </row>
    <row r="31" spans="1:22" x14ac:dyDescent="0.2">
      <c r="A31" t="s">
        <v>48</v>
      </c>
      <c r="B31" t="s">
        <v>49</v>
      </c>
      <c r="C31">
        <v>2001</v>
      </c>
      <c r="D31">
        <v>12</v>
      </c>
      <c r="E31">
        <v>59318</v>
      </c>
      <c r="F31" t="s">
        <v>44</v>
      </c>
    </row>
    <row r="32" spans="1:22" x14ac:dyDescent="0.2">
      <c r="A32" t="s">
        <v>48</v>
      </c>
      <c r="B32" t="s">
        <v>49</v>
      </c>
      <c r="C32">
        <v>2001</v>
      </c>
      <c r="D32">
        <v>13</v>
      </c>
      <c r="E32">
        <v>66218</v>
      </c>
      <c r="F32" t="s">
        <v>15</v>
      </c>
    </row>
    <row r="33" spans="1:22" x14ac:dyDescent="0.2">
      <c r="A33" t="s">
        <v>48</v>
      </c>
      <c r="B33" t="s">
        <v>49</v>
      </c>
      <c r="C33">
        <v>2001</v>
      </c>
      <c r="D33">
        <v>14</v>
      </c>
      <c r="E33">
        <v>70332</v>
      </c>
      <c r="F33" t="s">
        <v>44</v>
      </c>
    </row>
    <row r="34" spans="1:22" x14ac:dyDescent="0.2">
      <c r="A34" t="s">
        <v>48</v>
      </c>
      <c r="B34" t="s">
        <v>49</v>
      </c>
      <c r="C34">
        <v>2001</v>
      </c>
      <c r="D34">
        <v>15</v>
      </c>
      <c r="E34">
        <v>72438</v>
      </c>
      <c r="F34" t="s">
        <v>44</v>
      </c>
    </row>
    <row r="35" spans="1:22" x14ac:dyDescent="0.2">
      <c r="A35" t="s">
        <v>48</v>
      </c>
      <c r="B35" t="s">
        <v>49</v>
      </c>
      <c r="C35">
        <v>2001</v>
      </c>
      <c r="D35">
        <v>16</v>
      </c>
      <c r="E35">
        <v>66084</v>
      </c>
      <c r="F35" t="s">
        <v>15</v>
      </c>
    </row>
    <row r="36" spans="1:22" x14ac:dyDescent="0.2">
      <c r="A36" t="s">
        <v>48</v>
      </c>
      <c r="B36" t="s">
        <v>49</v>
      </c>
      <c r="C36">
        <v>2001</v>
      </c>
      <c r="D36">
        <v>17</v>
      </c>
      <c r="E36">
        <v>66033</v>
      </c>
      <c r="F36" t="s">
        <v>15</v>
      </c>
      <c r="G36">
        <f>AVERAGEIF(F20:F36,"home",E20:E36)</f>
        <v>66103.625</v>
      </c>
    </row>
    <row r="37" spans="1:22" x14ac:dyDescent="0.2">
      <c r="A37" t="s">
        <v>0</v>
      </c>
      <c r="B37" t="s">
        <v>1</v>
      </c>
      <c r="C37" t="s">
        <v>2</v>
      </c>
      <c r="D37" t="s">
        <v>3</v>
      </c>
      <c r="E37" t="s">
        <v>4</v>
      </c>
      <c r="P37" t="s">
        <v>0</v>
      </c>
      <c r="Q37" t="s">
        <v>1</v>
      </c>
      <c r="R37" t="s">
        <v>2</v>
      </c>
      <c r="S37" t="s">
        <v>6</v>
      </c>
      <c r="T37" t="s">
        <v>7</v>
      </c>
      <c r="U37" t="s">
        <v>8</v>
      </c>
      <c r="V37" t="s">
        <v>9</v>
      </c>
    </row>
    <row r="38" spans="1:22" x14ac:dyDescent="0.2">
      <c r="A38" t="s">
        <v>48</v>
      </c>
      <c r="B38" t="s">
        <v>49</v>
      </c>
      <c r="C38">
        <v>2002</v>
      </c>
      <c r="D38">
        <v>1</v>
      </c>
      <c r="E38">
        <v>75710</v>
      </c>
      <c r="F38" t="s">
        <v>44</v>
      </c>
    </row>
    <row r="39" spans="1:22" x14ac:dyDescent="0.2">
      <c r="A39" t="s">
        <v>48</v>
      </c>
      <c r="B39" t="s">
        <v>49</v>
      </c>
      <c r="C39">
        <v>2002</v>
      </c>
      <c r="D39">
        <v>2</v>
      </c>
      <c r="E39">
        <v>65932</v>
      </c>
      <c r="F39" t="s">
        <v>15</v>
      </c>
    </row>
    <row r="40" spans="1:22" x14ac:dyDescent="0.2">
      <c r="A40" t="s">
        <v>48</v>
      </c>
      <c r="B40" t="s">
        <v>49</v>
      </c>
      <c r="C40">
        <v>2002</v>
      </c>
      <c r="D40">
        <v>3</v>
      </c>
      <c r="E40">
        <v>65652</v>
      </c>
      <c r="F40" t="s">
        <v>44</v>
      </c>
    </row>
    <row r="41" spans="1:22" x14ac:dyDescent="0.2">
      <c r="A41" t="s">
        <v>48</v>
      </c>
      <c r="B41" t="s">
        <v>49</v>
      </c>
      <c r="C41">
        <v>2002</v>
      </c>
      <c r="D41">
        <v>4</v>
      </c>
      <c r="E41">
        <v>66165</v>
      </c>
      <c r="F41" t="s">
        <v>15</v>
      </c>
    </row>
    <row r="42" spans="1:22" x14ac:dyDescent="0.2">
      <c r="A42" t="s">
        <v>48</v>
      </c>
      <c r="B42" t="s">
        <v>49</v>
      </c>
      <c r="C42">
        <v>2002</v>
      </c>
      <c r="D42">
        <v>5</v>
      </c>
      <c r="E42">
        <v>67853</v>
      </c>
      <c r="F42" t="s">
        <v>44</v>
      </c>
    </row>
    <row r="43" spans="1:22" x14ac:dyDescent="0.2">
      <c r="A43" t="s">
        <v>48</v>
      </c>
      <c r="B43" t="s">
        <v>49</v>
      </c>
      <c r="C43">
        <v>2002</v>
      </c>
      <c r="D43">
        <v>6</v>
      </c>
      <c r="E43">
        <v>66070</v>
      </c>
      <c r="F43" t="s">
        <v>15</v>
      </c>
    </row>
    <row r="44" spans="1:22" x14ac:dyDescent="0.2">
      <c r="A44" t="s">
        <v>48</v>
      </c>
      <c r="B44" t="s">
        <v>49</v>
      </c>
      <c r="C44">
        <v>2002</v>
      </c>
      <c r="D44">
        <v>7</v>
      </c>
      <c r="E44">
        <v>65931</v>
      </c>
      <c r="F44" t="s">
        <v>15</v>
      </c>
    </row>
    <row r="45" spans="1:22" x14ac:dyDescent="0.2">
      <c r="A45" t="s">
        <v>48</v>
      </c>
      <c r="B45" t="s">
        <v>49</v>
      </c>
      <c r="C45">
        <v>2002</v>
      </c>
      <c r="D45">
        <v>8</v>
      </c>
      <c r="E45">
        <v>0</v>
      </c>
      <c r="F45" t="s">
        <v>14</v>
      </c>
      <c r="P45" t="s">
        <v>48</v>
      </c>
      <c r="Q45" t="s">
        <v>49</v>
      </c>
      <c r="R45" t="s">
        <v>20</v>
      </c>
      <c r="S45">
        <v>7</v>
      </c>
      <c r="T45">
        <v>9</v>
      </c>
      <c r="U45" t="s">
        <v>17</v>
      </c>
      <c r="V45" t="s">
        <v>18</v>
      </c>
    </row>
    <row r="46" spans="1:22" x14ac:dyDescent="0.2">
      <c r="A46" t="s">
        <v>48</v>
      </c>
      <c r="B46" t="s">
        <v>49</v>
      </c>
      <c r="C46">
        <v>2002</v>
      </c>
      <c r="D46">
        <v>9</v>
      </c>
      <c r="E46">
        <v>47819</v>
      </c>
      <c r="F46" t="s">
        <v>44</v>
      </c>
    </row>
    <row r="47" spans="1:22" x14ac:dyDescent="0.2">
      <c r="A47" t="s">
        <v>48</v>
      </c>
      <c r="B47" t="s">
        <v>49</v>
      </c>
      <c r="C47">
        <v>2002</v>
      </c>
      <c r="D47">
        <v>10</v>
      </c>
      <c r="E47">
        <v>66093</v>
      </c>
      <c r="F47" t="s">
        <v>15</v>
      </c>
    </row>
    <row r="48" spans="1:22" x14ac:dyDescent="0.2">
      <c r="A48" t="s">
        <v>48</v>
      </c>
      <c r="B48" t="s">
        <v>49</v>
      </c>
      <c r="C48">
        <v>2002</v>
      </c>
      <c r="D48">
        <v>11</v>
      </c>
      <c r="E48">
        <v>66250</v>
      </c>
      <c r="F48" t="s">
        <v>15</v>
      </c>
    </row>
    <row r="49" spans="1:22" x14ac:dyDescent="0.2">
      <c r="A49" t="s">
        <v>48</v>
      </c>
      <c r="B49" t="s">
        <v>49</v>
      </c>
      <c r="C49">
        <v>2002</v>
      </c>
      <c r="D49">
        <v>12</v>
      </c>
      <c r="E49">
        <v>79823</v>
      </c>
      <c r="F49" t="s">
        <v>44</v>
      </c>
    </row>
    <row r="50" spans="1:22" x14ac:dyDescent="0.2">
      <c r="A50" t="s">
        <v>48</v>
      </c>
      <c r="B50" t="s">
        <v>49</v>
      </c>
      <c r="C50">
        <v>2002</v>
      </c>
      <c r="D50">
        <v>13</v>
      </c>
      <c r="E50">
        <v>65552</v>
      </c>
      <c r="F50" t="s">
        <v>44</v>
      </c>
    </row>
    <row r="51" spans="1:22" x14ac:dyDescent="0.2">
      <c r="A51" t="s">
        <v>48</v>
      </c>
      <c r="B51" t="s">
        <v>49</v>
      </c>
      <c r="C51">
        <v>2002</v>
      </c>
      <c r="D51">
        <v>14</v>
      </c>
      <c r="E51">
        <v>78601</v>
      </c>
      <c r="F51" t="s">
        <v>44</v>
      </c>
    </row>
    <row r="52" spans="1:22" x14ac:dyDescent="0.2">
      <c r="A52" t="s">
        <v>48</v>
      </c>
      <c r="B52" t="s">
        <v>49</v>
      </c>
      <c r="C52">
        <v>2002</v>
      </c>
      <c r="D52">
        <v>15</v>
      </c>
      <c r="E52">
        <v>65939</v>
      </c>
      <c r="F52" t="s">
        <v>15</v>
      </c>
    </row>
    <row r="53" spans="1:22" x14ac:dyDescent="0.2">
      <c r="A53" t="s">
        <v>48</v>
      </c>
      <c r="B53" t="s">
        <v>49</v>
      </c>
      <c r="C53">
        <v>2002</v>
      </c>
      <c r="D53">
        <v>16</v>
      </c>
      <c r="E53">
        <v>63953</v>
      </c>
      <c r="F53" t="s">
        <v>44</v>
      </c>
    </row>
    <row r="54" spans="1:22" x14ac:dyDescent="0.2">
      <c r="A54" t="s">
        <v>48</v>
      </c>
      <c r="B54" t="s">
        <v>49</v>
      </c>
      <c r="C54">
        <v>2002</v>
      </c>
      <c r="D54">
        <v>17</v>
      </c>
      <c r="E54">
        <v>66118</v>
      </c>
      <c r="F54" t="s">
        <v>15</v>
      </c>
      <c r="G54">
        <f>AVERAGEIF(F38:F54,"home",E38:E54)</f>
        <v>66062.25</v>
      </c>
    </row>
    <row r="55" spans="1:22" x14ac:dyDescent="0.2">
      <c r="A55" t="s">
        <v>0</v>
      </c>
      <c r="B55" t="s">
        <v>1</v>
      </c>
      <c r="C55" t="s">
        <v>2</v>
      </c>
      <c r="D55" t="s">
        <v>3</v>
      </c>
      <c r="E55" t="s">
        <v>4</v>
      </c>
      <c r="P55" t="s">
        <v>0</v>
      </c>
      <c r="Q55" t="s">
        <v>1</v>
      </c>
      <c r="R55" t="s">
        <v>2</v>
      </c>
      <c r="S55" t="s">
        <v>6</v>
      </c>
      <c r="T55" t="s">
        <v>7</v>
      </c>
      <c r="U55" t="s">
        <v>8</v>
      </c>
      <c r="V55" t="s">
        <v>9</v>
      </c>
    </row>
    <row r="56" spans="1:22" x14ac:dyDescent="0.2">
      <c r="A56" t="s">
        <v>48</v>
      </c>
      <c r="B56" t="s">
        <v>49</v>
      </c>
      <c r="C56">
        <v>2003</v>
      </c>
      <c r="D56">
        <v>1</v>
      </c>
      <c r="E56">
        <v>78666</v>
      </c>
      <c r="F56" t="s">
        <v>44</v>
      </c>
    </row>
    <row r="57" spans="1:22" x14ac:dyDescent="0.2">
      <c r="A57" t="s">
        <v>48</v>
      </c>
      <c r="B57" t="s">
        <v>49</v>
      </c>
      <c r="C57">
        <v>2003</v>
      </c>
      <c r="D57">
        <v>2</v>
      </c>
      <c r="E57">
        <v>65990</v>
      </c>
      <c r="F57" t="s">
        <v>15</v>
      </c>
    </row>
    <row r="58" spans="1:22" x14ac:dyDescent="0.2">
      <c r="A58" t="s">
        <v>48</v>
      </c>
      <c r="B58" t="s">
        <v>49</v>
      </c>
      <c r="C58">
        <v>2003</v>
      </c>
      <c r="D58">
        <v>3</v>
      </c>
      <c r="E58">
        <v>65841</v>
      </c>
      <c r="F58" t="s">
        <v>44</v>
      </c>
    </row>
    <row r="59" spans="1:22" x14ac:dyDescent="0.2">
      <c r="A59" t="s">
        <v>48</v>
      </c>
      <c r="B59" t="s">
        <v>49</v>
      </c>
      <c r="C59">
        <v>2003</v>
      </c>
      <c r="D59">
        <v>4</v>
      </c>
      <c r="E59">
        <v>65758</v>
      </c>
      <c r="F59" t="s">
        <v>15</v>
      </c>
    </row>
    <row r="60" spans="1:22" x14ac:dyDescent="0.2">
      <c r="A60" t="s">
        <v>48</v>
      </c>
      <c r="B60" t="s">
        <v>49</v>
      </c>
      <c r="C60">
        <v>2003</v>
      </c>
      <c r="D60">
        <v>5</v>
      </c>
      <c r="E60">
        <v>0</v>
      </c>
      <c r="F60" t="s">
        <v>14</v>
      </c>
    </row>
    <row r="61" spans="1:22" x14ac:dyDescent="0.2">
      <c r="A61" t="s">
        <v>48</v>
      </c>
      <c r="B61" t="s">
        <v>49</v>
      </c>
      <c r="C61">
        <v>2003</v>
      </c>
      <c r="D61">
        <v>6</v>
      </c>
      <c r="E61">
        <v>66075</v>
      </c>
      <c r="F61" t="s">
        <v>15</v>
      </c>
    </row>
    <row r="62" spans="1:22" x14ac:dyDescent="0.2">
      <c r="A62" t="s">
        <v>48</v>
      </c>
      <c r="B62" t="s">
        <v>49</v>
      </c>
      <c r="C62">
        <v>2003</v>
      </c>
      <c r="D62">
        <v>7</v>
      </c>
      <c r="E62">
        <v>66201</v>
      </c>
      <c r="F62" t="s">
        <v>15</v>
      </c>
    </row>
    <row r="63" spans="1:22" x14ac:dyDescent="0.2">
      <c r="A63" t="s">
        <v>48</v>
      </c>
      <c r="B63" t="s">
        <v>49</v>
      </c>
      <c r="C63">
        <v>2003</v>
      </c>
      <c r="D63">
        <v>8</v>
      </c>
      <c r="E63">
        <v>62665</v>
      </c>
      <c r="F63" t="s">
        <v>44</v>
      </c>
      <c r="P63" t="s">
        <v>48</v>
      </c>
      <c r="Q63" t="s">
        <v>49</v>
      </c>
      <c r="R63" t="s">
        <v>21</v>
      </c>
      <c r="S63">
        <v>12</v>
      </c>
      <c r="T63">
        <v>4</v>
      </c>
      <c r="U63" t="s">
        <v>29</v>
      </c>
      <c r="V63" t="s">
        <v>18</v>
      </c>
    </row>
    <row r="64" spans="1:22" x14ac:dyDescent="0.2">
      <c r="A64" t="s">
        <v>48</v>
      </c>
      <c r="B64" t="s">
        <v>49</v>
      </c>
      <c r="C64">
        <v>2003</v>
      </c>
      <c r="D64">
        <v>9</v>
      </c>
      <c r="E64">
        <v>67812</v>
      </c>
      <c r="F64" t="s">
        <v>44</v>
      </c>
    </row>
    <row r="65" spans="1:22" x14ac:dyDescent="0.2">
      <c r="A65" t="s">
        <v>48</v>
      </c>
      <c r="B65" t="s">
        <v>49</v>
      </c>
      <c r="C65">
        <v>2003</v>
      </c>
      <c r="D65">
        <v>10</v>
      </c>
      <c r="E65">
        <v>66085</v>
      </c>
      <c r="F65" t="s">
        <v>15</v>
      </c>
    </row>
    <row r="66" spans="1:22" x14ac:dyDescent="0.2">
      <c r="A66" t="s">
        <v>48</v>
      </c>
      <c r="B66" t="s">
        <v>49</v>
      </c>
      <c r="C66">
        <v>2003</v>
      </c>
      <c r="D66">
        <v>11</v>
      </c>
      <c r="E66">
        <v>61820</v>
      </c>
      <c r="F66" t="s">
        <v>44</v>
      </c>
    </row>
    <row r="67" spans="1:22" x14ac:dyDescent="0.2">
      <c r="A67" t="s">
        <v>48</v>
      </c>
      <c r="B67" t="s">
        <v>49</v>
      </c>
      <c r="C67">
        <v>2003</v>
      </c>
      <c r="D67">
        <v>12</v>
      </c>
      <c r="E67">
        <v>42089</v>
      </c>
      <c r="F67" t="s">
        <v>44</v>
      </c>
    </row>
    <row r="68" spans="1:22" x14ac:dyDescent="0.2">
      <c r="A68" t="s">
        <v>48</v>
      </c>
      <c r="B68" t="s">
        <v>49</v>
      </c>
      <c r="C68">
        <v>2003</v>
      </c>
      <c r="D68">
        <v>13</v>
      </c>
      <c r="E68">
        <v>66134</v>
      </c>
      <c r="F68" t="s">
        <v>15</v>
      </c>
    </row>
    <row r="69" spans="1:22" x14ac:dyDescent="0.2">
      <c r="A69" t="s">
        <v>48</v>
      </c>
      <c r="B69" t="s">
        <v>49</v>
      </c>
      <c r="C69">
        <v>2003</v>
      </c>
      <c r="D69">
        <v>14</v>
      </c>
      <c r="E69">
        <v>73108</v>
      </c>
      <c r="F69" t="s">
        <v>44</v>
      </c>
    </row>
    <row r="70" spans="1:22" x14ac:dyDescent="0.2">
      <c r="A70" t="s">
        <v>48</v>
      </c>
      <c r="B70" t="s">
        <v>49</v>
      </c>
      <c r="C70">
        <v>2003</v>
      </c>
      <c r="D70">
        <v>15</v>
      </c>
      <c r="E70">
        <v>66152</v>
      </c>
      <c r="F70" t="s">
        <v>15</v>
      </c>
    </row>
    <row r="71" spans="1:22" x14ac:dyDescent="0.2">
      <c r="A71" t="s">
        <v>48</v>
      </c>
      <c r="B71" t="s">
        <v>49</v>
      </c>
      <c r="C71">
        <v>2003</v>
      </c>
      <c r="D71">
        <v>16</v>
      </c>
      <c r="E71">
        <v>66061</v>
      </c>
      <c r="F71" t="s">
        <v>15</v>
      </c>
    </row>
    <row r="72" spans="1:22" x14ac:dyDescent="0.2">
      <c r="A72" t="s">
        <v>48</v>
      </c>
      <c r="B72" t="s">
        <v>49</v>
      </c>
      <c r="C72">
        <v>2003</v>
      </c>
      <c r="D72">
        <v>17</v>
      </c>
      <c r="E72">
        <v>61006</v>
      </c>
      <c r="F72" t="s">
        <v>44</v>
      </c>
      <c r="G72">
        <f>AVERAGEIF(F56:F72,"home",E56:E72)</f>
        <v>66057</v>
      </c>
    </row>
    <row r="73" spans="1:22" x14ac:dyDescent="0.2">
      <c r="A73" t="s">
        <v>0</v>
      </c>
      <c r="B73" t="s">
        <v>1</v>
      </c>
      <c r="C73" t="s">
        <v>2</v>
      </c>
      <c r="D73" t="s">
        <v>3</v>
      </c>
      <c r="E73" t="s">
        <v>4</v>
      </c>
      <c r="P73" t="s">
        <v>0</v>
      </c>
      <c r="Q73" t="s">
        <v>1</v>
      </c>
      <c r="R73" t="s">
        <v>2</v>
      </c>
      <c r="S73" t="s">
        <v>6</v>
      </c>
      <c r="T73" t="s">
        <v>7</v>
      </c>
      <c r="U73" t="s">
        <v>8</v>
      </c>
      <c r="V73" t="s">
        <v>9</v>
      </c>
    </row>
    <row r="74" spans="1:22" x14ac:dyDescent="0.2">
      <c r="A74" t="s">
        <v>48</v>
      </c>
      <c r="B74" t="s">
        <v>49</v>
      </c>
      <c r="C74">
        <v>2004</v>
      </c>
      <c r="D74">
        <v>1</v>
      </c>
      <c r="E74">
        <v>65538</v>
      </c>
      <c r="F74" t="s">
        <v>15</v>
      </c>
    </row>
    <row r="75" spans="1:22" x14ac:dyDescent="0.2">
      <c r="A75" t="s">
        <v>48</v>
      </c>
      <c r="B75" t="s">
        <v>49</v>
      </c>
      <c r="C75">
        <v>2004</v>
      </c>
      <c r="D75">
        <v>2</v>
      </c>
      <c r="E75">
        <v>70822</v>
      </c>
      <c r="F75" t="s">
        <v>44</v>
      </c>
    </row>
    <row r="76" spans="1:22" x14ac:dyDescent="0.2">
      <c r="A76" t="s">
        <v>48</v>
      </c>
      <c r="B76" t="s">
        <v>49</v>
      </c>
      <c r="C76">
        <v>2004</v>
      </c>
      <c r="D76">
        <v>3</v>
      </c>
      <c r="E76">
        <v>65856</v>
      </c>
      <c r="F76" t="s">
        <v>15</v>
      </c>
    </row>
    <row r="77" spans="1:22" x14ac:dyDescent="0.2">
      <c r="A77" t="s">
        <v>48</v>
      </c>
      <c r="B77" t="s">
        <v>49</v>
      </c>
      <c r="C77">
        <v>2004</v>
      </c>
      <c r="D77">
        <v>4</v>
      </c>
      <c r="E77">
        <v>66696</v>
      </c>
      <c r="F77" t="s">
        <v>44</v>
      </c>
    </row>
    <row r="78" spans="1:22" x14ac:dyDescent="0.2">
      <c r="A78" t="s">
        <v>48</v>
      </c>
      <c r="B78" t="s">
        <v>49</v>
      </c>
      <c r="C78">
        <v>2004</v>
      </c>
      <c r="D78">
        <v>5</v>
      </c>
      <c r="E78">
        <v>66940</v>
      </c>
      <c r="F78" t="s">
        <v>44</v>
      </c>
    </row>
    <row r="79" spans="1:22" x14ac:dyDescent="0.2">
      <c r="A79" t="s">
        <v>48</v>
      </c>
      <c r="B79" t="s">
        <v>49</v>
      </c>
      <c r="C79">
        <v>2004</v>
      </c>
      <c r="D79">
        <v>6</v>
      </c>
      <c r="E79">
        <v>66040</v>
      </c>
      <c r="F79" t="s">
        <v>15</v>
      </c>
    </row>
    <row r="80" spans="1:22" x14ac:dyDescent="0.2">
      <c r="A80" t="s">
        <v>48</v>
      </c>
      <c r="B80" t="s">
        <v>49</v>
      </c>
      <c r="C80">
        <v>2004</v>
      </c>
      <c r="D80">
        <v>7</v>
      </c>
      <c r="E80">
        <v>72945</v>
      </c>
      <c r="F80" t="s">
        <v>44</v>
      </c>
    </row>
    <row r="81" spans="1:22" x14ac:dyDescent="0.2">
      <c r="A81" t="s">
        <v>48</v>
      </c>
      <c r="B81" t="s">
        <v>49</v>
      </c>
      <c r="C81">
        <v>2004</v>
      </c>
      <c r="D81">
        <v>8</v>
      </c>
      <c r="E81">
        <v>0</v>
      </c>
      <c r="F81" t="s">
        <v>14</v>
      </c>
      <c r="P81" t="s">
        <v>48</v>
      </c>
      <c r="Q81" t="s">
        <v>49</v>
      </c>
      <c r="R81" t="s">
        <v>22</v>
      </c>
      <c r="S81">
        <v>8</v>
      </c>
      <c r="T81">
        <v>8</v>
      </c>
      <c r="U81" t="s">
        <v>29</v>
      </c>
      <c r="V81" t="s">
        <v>18</v>
      </c>
    </row>
    <row r="82" spans="1:22" x14ac:dyDescent="0.2">
      <c r="A82" t="s">
        <v>48</v>
      </c>
      <c r="B82" t="s">
        <v>49</v>
      </c>
      <c r="C82">
        <v>2004</v>
      </c>
      <c r="D82">
        <v>9</v>
      </c>
      <c r="E82">
        <v>66107</v>
      </c>
      <c r="F82" t="s">
        <v>15</v>
      </c>
    </row>
    <row r="83" spans="1:22" x14ac:dyDescent="0.2">
      <c r="A83" t="s">
        <v>48</v>
      </c>
      <c r="B83" t="s">
        <v>49</v>
      </c>
      <c r="C83">
        <v>2004</v>
      </c>
      <c r="D83">
        <v>10</v>
      </c>
      <c r="E83">
        <v>66044</v>
      </c>
      <c r="F83" t="s">
        <v>15</v>
      </c>
    </row>
    <row r="84" spans="1:22" x14ac:dyDescent="0.2">
      <c r="A84" t="s">
        <v>48</v>
      </c>
      <c r="B84" t="s">
        <v>49</v>
      </c>
      <c r="C84">
        <v>2004</v>
      </c>
      <c r="D84">
        <v>11</v>
      </c>
      <c r="E84">
        <v>72393</v>
      </c>
      <c r="F84" t="s">
        <v>44</v>
      </c>
    </row>
    <row r="85" spans="1:22" x14ac:dyDescent="0.2">
      <c r="A85" t="s">
        <v>48</v>
      </c>
      <c r="B85" t="s">
        <v>49</v>
      </c>
      <c r="C85">
        <v>2004</v>
      </c>
      <c r="D85">
        <v>12</v>
      </c>
      <c r="E85">
        <v>70385</v>
      </c>
      <c r="F85" t="s">
        <v>44</v>
      </c>
    </row>
    <row r="86" spans="1:22" x14ac:dyDescent="0.2">
      <c r="A86" t="s">
        <v>48</v>
      </c>
      <c r="B86" t="s">
        <v>49</v>
      </c>
      <c r="C86">
        <v>2004</v>
      </c>
      <c r="D86">
        <v>13</v>
      </c>
      <c r="E86">
        <v>65793</v>
      </c>
      <c r="F86" t="s">
        <v>15</v>
      </c>
    </row>
    <row r="87" spans="1:22" x14ac:dyDescent="0.2">
      <c r="A87" t="s">
        <v>48</v>
      </c>
      <c r="B87" t="s">
        <v>49</v>
      </c>
      <c r="C87">
        <v>2004</v>
      </c>
      <c r="D87">
        <v>14</v>
      </c>
      <c r="E87">
        <v>73306</v>
      </c>
      <c r="F87" t="s">
        <v>44</v>
      </c>
    </row>
    <row r="88" spans="1:22" x14ac:dyDescent="0.2">
      <c r="A88" t="s">
        <v>48</v>
      </c>
      <c r="B88" t="s">
        <v>49</v>
      </c>
      <c r="C88">
        <v>2004</v>
      </c>
      <c r="D88">
        <v>15</v>
      </c>
      <c r="E88">
        <v>40070</v>
      </c>
      <c r="F88" t="s">
        <v>44</v>
      </c>
    </row>
    <row r="89" spans="1:22" x14ac:dyDescent="0.2">
      <c r="A89" t="s">
        <v>48</v>
      </c>
      <c r="B89" t="s">
        <v>49</v>
      </c>
      <c r="C89">
        <v>2004</v>
      </c>
      <c r="D89">
        <v>16</v>
      </c>
      <c r="E89">
        <v>66129</v>
      </c>
      <c r="F89" t="s">
        <v>15</v>
      </c>
    </row>
    <row r="90" spans="1:22" x14ac:dyDescent="0.2">
      <c r="A90" t="s">
        <v>48</v>
      </c>
      <c r="B90" t="s">
        <v>49</v>
      </c>
      <c r="C90">
        <v>2004</v>
      </c>
      <c r="D90">
        <v>17</v>
      </c>
      <c r="E90">
        <v>65877</v>
      </c>
      <c r="F90" t="s">
        <v>15</v>
      </c>
    </row>
    <row r="91" spans="1:22" x14ac:dyDescent="0.2">
      <c r="A91" t="s">
        <v>0</v>
      </c>
      <c r="B91" t="s">
        <v>1</v>
      </c>
      <c r="C91" t="s">
        <v>2</v>
      </c>
      <c r="D91" t="s">
        <v>3</v>
      </c>
      <c r="E91" t="s">
        <v>4</v>
      </c>
      <c r="G91">
        <f>AVERAGEIF(F74:F90,"home",E74:E90)</f>
        <v>65923</v>
      </c>
      <c r="P91" t="s">
        <v>0</v>
      </c>
      <c r="Q91" t="s">
        <v>1</v>
      </c>
      <c r="R91" t="s">
        <v>2</v>
      </c>
      <c r="S91" t="s">
        <v>6</v>
      </c>
      <c r="T91" t="s">
        <v>7</v>
      </c>
      <c r="U91" t="s">
        <v>8</v>
      </c>
      <c r="V91" t="s">
        <v>9</v>
      </c>
    </row>
    <row r="92" spans="1:22" x14ac:dyDescent="0.2">
      <c r="A92" t="s">
        <v>48</v>
      </c>
      <c r="B92" t="s">
        <v>49</v>
      </c>
      <c r="C92">
        <v>2005</v>
      </c>
      <c r="D92">
        <v>1</v>
      </c>
      <c r="E92">
        <v>67918</v>
      </c>
      <c r="F92" t="s">
        <v>44</v>
      </c>
    </row>
    <row r="93" spans="1:22" x14ac:dyDescent="0.2">
      <c r="A93" t="s">
        <v>48</v>
      </c>
      <c r="B93" t="s">
        <v>49</v>
      </c>
      <c r="C93">
        <v>2005</v>
      </c>
      <c r="D93">
        <v>2</v>
      </c>
      <c r="E93">
        <v>45160</v>
      </c>
      <c r="F93" t="s">
        <v>44</v>
      </c>
    </row>
    <row r="94" spans="1:22" x14ac:dyDescent="0.2">
      <c r="A94" t="s">
        <v>48</v>
      </c>
      <c r="B94" t="s">
        <v>49</v>
      </c>
      <c r="C94">
        <v>2005</v>
      </c>
      <c r="D94">
        <v>3</v>
      </c>
      <c r="E94">
        <v>65835</v>
      </c>
      <c r="F94" t="s">
        <v>15</v>
      </c>
    </row>
    <row r="95" spans="1:22" x14ac:dyDescent="0.2">
      <c r="A95" t="s">
        <v>48</v>
      </c>
      <c r="B95" t="s">
        <v>49</v>
      </c>
      <c r="C95">
        <v>2005</v>
      </c>
      <c r="D95">
        <v>4</v>
      </c>
      <c r="E95">
        <v>78453</v>
      </c>
      <c r="F95" t="s">
        <v>44</v>
      </c>
    </row>
    <row r="96" spans="1:22" x14ac:dyDescent="0.2">
      <c r="A96" t="s">
        <v>48</v>
      </c>
      <c r="B96" t="s">
        <v>49</v>
      </c>
      <c r="C96">
        <v>2005</v>
      </c>
      <c r="D96">
        <v>5</v>
      </c>
      <c r="E96">
        <v>65707</v>
      </c>
      <c r="F96" t="s">
        <v>15</v>
      </c>
    </row>
    <row r="97" spans="1:22" x14ac:dyDescent="0.2">
      <c r="A97" t="s">
        <v>48</v>
      </c>
      <c r="B97" t="s">
        <v>49</v>
      </c>
      <c r="C97">
        <v>2005</v>
      </c>
      <c r="D97">
        <v>6</v>
      </c>
      <c r="E97">
        <v>57307</v>
      </c>
      <c r="F97" t="s">
        <v>44</v>
      </c>
    </row>
    <row r="98" spans="1:22" x14ac:dyDescent="0.2">
      <c r="A98" t="s">
        <v>48</v>
      </c>
      <c r="B98" t="s">
        <v>49</v>
      </c>
      <c r="C98">
        <v>2005</v>
      </c>
      <c r="D98">
        <v>7</v>
      </c>
      <c r="E98">
        <v>64586</v>
      </c>
      <c r="F98" t="s">
        <v>15</v>
      </c>
    </row>
    <row r="99" spans="1:22" x14ac:dyDescent="0.2">
      <c r="A99" t="s">
        <v>48</v>
      </c>
      <c r="B99" t="s">
        <v>49</v>
      </c>
      <c r="C99">
        <v>2005</v>
      </c>
      <c r="D99">
        <v>8</v>
      </c>
      <c r="E99">
        <v>65251</v>
      </c>
      <c r="F99" t="s">
        <v>15</v>
      </c>
      <c r="P99" t="s">
        <v>48</v>
      </c>
      <c r="Q99" t="s">
        <v>49</v>
      </c>
      <c r="R99" t="s">
        <v>25</v>
      </c>
      <c r="S99">
        <v>6</v>
      </c>
      <c r="T99">
        <v>10</v>
      </c>
      <c r="U99" t="s">
        <v>17</v>
      </c>
      <c r="V99" t="s">
        <v>18</v>
      </c>
    </row>
    <row r="100" spans="1:22" x14ac:dyDescent="0.2">
      <c r="A100" t="s">
        <v>48</v>
      </c>
      <c r="B100" t="s">
        <v>49</v>
      </c>
      <c r="C100">
        <v>2005</v>
      </c>
      <c r="D100">
        <v>9</v>
      </c>
      <c r="E100">
        <v>0</v>
      </c>
      <c r="F100" t="s">
        <v>14</v>
      </c>
    </row>
    <row r="101" spans="1:22" x14ac:dyDescent="0.2">
      <c r="A101" t="s">
        <v>48</v>
      </c>
      <c r="B101" t="s">
        <v>49</v>
      </c>
      <c r="C101">
        <v>2005</v>
      </c>
      <c r="D101">
        <v>10</v>
      </c>
      <c r="E101">
        <v>67192</v>
      </c>
      <c r="F101" t="s">
        <v>44</v>
      </c>
    </row>
    <row r="102" spans="1:22" x14ac:dyDescent="0.2">
      <c r="A102" t="s">
        <v>48</v>
      </c>
      <c r="B102" t="s">
        <v>49</v>
      </c>
      <c r="C102">
        <v>2005</v>
      </c>
      <c r="D102">
        <v>11</v>
      </c>
      <c r="E102">
        <v>65750</v>
      </c>
      <c r="F102" t="s">
        <v>15</v>
      </c>
    </row>
    <row r="103" spans="1:22" x14ac:dyDescent="0.2">
      <c r="A103" t="s">
        <v>48</v>
      </c>
      <c r="B103" t="s">
        <v>49</v>
      </c>
      <c r="C103">
        <v>2005</v>
      </c>
      <c r="D103">
        <v>12</v>
      </c>
      <c r="E103">
        <v>70010</v>
      </c>
      <c r="F103" t="s">
        <v>44</v>
      </c>
    </row>
    <row r="104" spans="1:22" x14ac:dyDescent="0.2">
      <c r="A104" t="s">
        <v>48</v>
      </c>
      <c r="B104" t="s">
        <v>49</v>
      </c>
      <c r="C104">
        <v>2005</v>
      </c>
      <c r="D104">
        <v>13</v>
      </c>
      <c r="E104">
        <v>65701</v>
      </c>
      <c r="F104" t="s">
        <v>15</v>
      </c>
    </row>
    <row r="105" spans="1:22" x14ac:dyDescent="0.2">
      <c r="A105" t="s">
        <v>48</v>
      </c>
      <c r="B105" t="s">
        <v>49</v>
      </c>
      <c r="C105">
        <v>2005</v>
      </c>
      <c r="D105">
        <v>14</v>
      </c>
      <c r="E105">
        <v>64005</v>
      </c>
      <c r="F105" t="s">
        <v>44</v>
      </c>
    </row>
    <row r="106" spans="1:22" x14ac:dyDescent="0.2">
      <c r="A106" t="s">
        <v>48</v>
      </c>
      <c r="B106" t="s">
        <v>49</v>
      </c>
      <c r="C106">
        <v>2005</v>
      </c>
      <c r="D106">
        <v>15</v>
      </c>
      <c r="E106">
        <v>65382</v>
      </c>
      <c r="F106" t="s">
        <v>15</v>
      </c>
    </row>
    <row r="107" spans="1:22" x14ac:dyDescent="0.2">
      <c r="A107" t="s">
        <v>48</v>
      </c>
      <c r="B107" t="s">
        <v>49</v>
      </c>
      <c r="C107">
        <v>2005</v>
      </c>
      <c r="D107">
        <v>16</v>
      </c>
      <c r="E107">
        <v>65473</v>
      </c>
      <c r="F107" t="s">
        <v>15</v>
      </c>
    </row>
    <row r="108" spans="1:22" x14ac:dyDescent="0.2">
      <c r="A108" t="s">
        <v>48</v>
      </c>
      <c r="B108" t="s">
        <v>49</v>
      </c>
      <c r="C108">
        <v>2005</v>
      </c>
      <c r="D108">
        <v>17</v>
      </c>
      <c r="E108">
        <v>63131</v>
      </c>
      <c r="F108" t="s">
        <v>44</v>
      </c>
    </row>
    <row r="109" spans="1:22" x14ac:dyDescent="0.2">
      <c r="A109" t="s">
        <v>0</v>
      </c>
      <c r="B109" t="s">
        <v>1</v>
      </c>
      <c r="C109" t="s">
        <v>2</v>
      </c>
      <c r="D109" t="s">
        <v>3</v>
      </c>
      <c r="E109" t="s">
        <v>4</v>
      </c>
      <c r="G109">
        <f>AVERAGEIF(F92:F108,"home",E92:E108)</f>
        <v>65460.625</v>
      </c>
      <c r="P109" t="s">
        <v>0</v>
      </c>
      <c r="Q109" t="s">
        <v>1</v>
      </c>
      <c r="R109" t="s">
        <v>2</v>
      </c>
      <c r="S109" t="s">
        <v>6</v>
      </c>
      <c r="T109" t="s">
        <v>7</v>
      </c>
      <c r="U109" t="s">
        <v>8</v>
      </c>
      <c r="V109" t="s">
        <v>9</v>
      </c>
    </row>
    <row r="110" spans="1:22" x14ac:dyDescent="0.2">
      <c r="A110" t="s">
        <v>48</v>
      </c>
      <c r="B110" t="s">
        <v>49</v>
      </c>
      <c r="C110">
        <v>2006</v>
      </c>
      <c r="D110">
        <v>1</v>
      </c>
      <c r="E110">
        <v>65577</v>
      </c>
      <c r="F110" t="s">
        <v>15</v>
      </c>
    </row>
    <row r="111" spans="1:22" x14ac:dyDescent="0.2">
      <c r="A111" t="s">
        <v>48</v>
      </c>
      <c r="B111" t="s">
        <v>49</v>
      </c>
      <c r="C111">
        <v>2006</v>
      </c>
      <c r="D111">
        <v>2</v>
      </c>
      <c r="E111">
        <v>67791</v>
      </c>
      <c r="F111" t="s">
        <v>44</v>
      </c>
    </row>
    <row r="112" spans="1:22" x14ac:dyDescent="0.2">
      <c r="A112" t="s">
        <v>48</v>
      </c>
      <c r="B112" t="s">
        <v>49</v>
      </c>
      <c r="C112">
        <v>2006</v>
      </c>
      <c r="D112">
        <v>3</v>
      </c>
      <c r="E112">
        <v>63278</v>
      </c>
      <c r="F112" t="s">
        <v>44</v>
      </c>
    </row>
    <row r="113" spans="1:22" x14ac:dyDescent="0.2">
      <c r="A113" t="s">
        <v>48</v>
      </c>
      <c r="B113" t="s">
        <v>49</v>
      </c>
      <c r="C113">
        <v>2006</v>
      </c>
      <c r="D113">
        <v>4</v>
      </c>
      <c r="E113">
        <v>65563</v>
      </c>
      <c r="F113" t="s">
        <v>15</v>
      </c>
    </row>
    <row r="114" spans="1:22" x14ac:dyDescent="0.2">
      <c r="A114" t="s">
        <v>48</v>
      </c>
      <c r="B114" t="s">
        <v>49</v>
      </c>
      <c r="C114">
        <v>2006</v>
      </c>
      <c r="D114">
        <v>5</v>
      </c>
      <c r="E114">
        <v>70804</v>
      </c>
      <c r="F114" t="s">
        <v>44</v>
      </c>
    </row>
    <row r="115" spans="1:22" x14ac:dyDescent="0.2">
      <c r="A115" t="s">
        <v>48</v>
      </c>
      <c r="B115" t="s">
        <v>49</v>
      </c>
      <c r="C115">
        <v>2006</v>
      </c>
      <c r="D115">
        <v>6</v>
      </c>
      <c r="E115">
        <v>65592</v>
      </c>
      <c r="F115" t="s">
        <v>15</v>
      </c>
    </row>
    <row r="116" spans="1:22" x14ac:dyDescent="0.2">
      <c r="A116" t="s">
        <v>48</v>
      </c>
      <c r="B116" t="s">
        <v>49</v>
      </c>
      <c r="C116">
        <v>2006</v>
      </c>
      <c r="D116">
        <v>7</v>
      </c>
      <c r="E116">
        <v>0</v>
      </c>
      <c r="F116" t="s">
        <v>14</v>
      </c>
    </row>
    <row r="117" spans="1:22" x14ac:dyDescent="0.2">
      <c r="A117" t="s">
        <v>48</v>
      </c>
      <c r="B117" t="s">
        <v>49</v>
      </c>
      <c r="C117">
        <v>2006</v>
      </c>
      <c r="D117">
        <v>8</v>
      </c>
      <c r="E117">
        <v>66598</v>
      </c>
      <c r="F117" t="s">
        <v>44</v>
      </c>
      <c r="P117" t="s">
        <v>48</v>
      </c>
      <c r="Q117" t="s">
        <v>49</v>
      </c>
      <c r="R117" t="s">
        <v>26</v>
      </c>
      <c r="S117">
        <v>8</v>
      </c>
      <c r="T117">
        <v>8</v>
      </c>
      <c r="U117" t="s">
        <v>17</v>
      </c>
      <c r="V117" t="s">
        <v>18</v>
      </c>
    </row>
    <row r="118" spans="1:22" x14ac:dyDescent="0.2">
      <c r="A118" t="s">
        <v>48</v>
      </c>
      <c r="B118" t="s">
        <v>49</v>
      </c>
      <c r="C118">
        <v>2006</v>
      </c>
      <c r="D118">
        <v>9</v>
      </c>
      <c r="E118">
        <v>66191</v>
      </c>
      <c r="F118" t="s">
        <v>15</v>
      </c>
    </row>
    <row r="119" spans="1:22" x14ac:dyDescent="0.2">
      <c r="A119" t="s">
        <v>48</v>
      </c>
      <c r="B119" t="s">
        <v>49</v>
      </c>
      <c r="C119">
        <v>2006</v>
      </c>
      <c r="D119">
        <v>10</v>
      </c>
      <c r="E119">
        <v>68175</v>
      </c>
      <c r="F119" t="s">
        <v>44</v>
      </c>
    </row>
    <row r="120" spans="1:22" x14ac:dyDescent="0.2">
      <c r="A120" t="s">
        <v>48</v>
      </c>
      <c r="B120" t="s">
        <v>49</v>
      </c>
      <c r="C120">
        <v>2006</v>
      </c>
      <c r="D120">
        <v>11</v>
      </c>
      <c r="E120">
        <v>73348</v>
      </c>
      <c r="F120" t="s">
        <v>44</v>
      </c>
    </row>
    <row r="121" spans="1:22" x14ac:dyDescent="0.2">
      <c r="A121" t="s">
        <v>48</v>
      </c>
      <c r="B121" t="s">
        <v>49</v>
      </c>
      <c r="C121">
        <v>2006</v>
      </c>
      <c r="D121">
        <v>12</v>
      </c>
      <c r="E121">
        <v>65517</v>
      </c>
      <c r="F121" t="s">
        <v>15</v>
      </c>
    </row>
    <row r="122" spans="1:22" x14ac:dyDescent="0.2">
      <c r="A122" t="s">
        <v>48</v>
      </c>
      <c r="B122" t="s">
        <v>49</v>
      </c>
      <c r="C122">
        <v>2006</v>
      </c>
      <c r="D122">
        <v>13</v>
      </c>
      <c r="E122">
        <v>65612</v>
      </c>
      <c r="F122" t="s">
        <v>15</v>
      </c>
    </row>
    <row r="123" spans="1:22" x14ac:dyDescent="0.2">
      <c r="A123" t="s">
        <v>48</v>
      </c>
      <c r="B123" t="s">
        <v>49</v>
      </c>
      <c r="C123">
        <v>2006</v>
      </c>
      <c r="D123">
        <v>14</v>
      </c>
      <c r="E123">
        <v>66234</v>
      </c>
      <c r="F123" t="s">
        <v>15</v>
      </c>
    </row>
    <row r="124" spans="1:22" x14ac:dyDescent="0.2">
      <c r="A124" t="s">
        <v>48</v>
      </c>
      <c r="B124" t="s">
        <v>49</v>
      </c>
      <c r="C124">
        <v>2006</v>
      </c>
      <c r="D124">
        <v>15</v>
      </c>
      <c r="E124">
        <v>50164</v>
      </c>
      <c r="F124" t="s">
        <v>44</v>
      </c>
    </row>
    <row r="125" spans="1:22" x14ac:dyDescent="0.2">
      <c r="A125" t="s">
        <v>48</v>
      </c>
      <c r="B125" t="s">
        <v>49</v>
      </c>
      <c r="C125">
        <v>2006</v>
      </c>
      <c r="D125">
        <v>16</v>
      </c>
      <c r="E125">
        <v>62324</v>
      </c>
      <c r="F125" t="s">
        <v>15</v>
      </c>
    </row>
    <row r="126" spans="1:22" x14ac:dyDescent="0.2">
      <c r="A126" t="s">
        <v>48</v>
      </c>
      <c r="B126" t="s">
        <v>49</v>
      </c>
      <c r="C126">
        <v>2006</v>
      </c>
      <c r="D126">
        <v>17</v>
      </c>
      <c r="E126">
        <v>63557</v>
      </c>
      <c r="F126" t="s">
        <v>44</v>
      </c>
    </row>
    <row r="127" spans="1:22" x14ac:dyDescent="0.2">
      <c r="A127" t="s">
        <v>0</v>
      </c>
      <c r="B127" t="s">
        <v>1</v>
      </c>
      <c r="C127" t="s">
        <v>2</v>
      </c>
      <c r="D127" t="s">
        <v>3</v>
      </c>
      <c r="E127" t="s">
        <v>4</v>
      </c>
      <c r="G127">
        <f>AVERAGEIF(F110:F126,"home",E110:E126)</f>
        <v>65326.25</v>
      </c>
      <c r="P127" t="s">
        <v>0</v>
      </c>
      <c r="Q127" t="s">
        <v>1</v>
      </c>
      <c r="R127" t="s">
        <v>2</v>
      </c>
      <c r="S127" t="s">
        <v>6</v>
      </c>
      <c r="T127" t="s">
        <v>7</v>
      </c>
      <c r="U127" t="s">
        <v>8</v>
      </c>
      <c r="V127" t="s">
        <v>9</v>
      </c>
    </row>
    <row r="128" spans="1:22" x14ac:dyDescent="0.2">
      <c r="A128" t="s">
        <v>48</v>
      </c>
      <c r="B128" t="s">
        <v>49</v>
      </c>
      <c r="C128">
        <v>2007</v>
      </c>
      <c r="D128">
        <v>1</v>
      </c>
      <c r="E128">
        <v>65307</v>
      </c>
      <c r="F128" t="s">
        <v>15</v>
      </c>
    </row>
    <row r="129" spans="1:22" x14ac:dyDescent="0.2">
      <c r="A129" t="s">
        <v>48</v>
      </c>
      <c r="B129" t="s">
        <v>49</v>
      </c>
      <c r="C129">
        <v>2007</v>
      </c>
      <c r="D129">
        <v>2</v>
      </c>
      <c r="E129">
        <v>65295</v>
      </c>
      <c r="F129" t="s">
        <v>15</v>
      </c>
    </row>
    <row r="130" spans="1:22" x14ac:dyDescent="0.2">
      <c r="A130" t="s">
        <v>48</v>
      </c>
      <c r="B130" t="s">
        <v>49</v>
      </c>
      <c r="C130">
        <v>2007</v>
      </c>
      <c r="D130">
        <v>3</v>
      </c>
      <c r="E130">
        <v>65267</v>
      </c>
      <c r="F130" t="s">
        <v>44</v>
      </c>
    </row>
    <row r="131" spans="1:22" x14ac:dyDescent="0.2">
      <c r="A131" t="s">
        <v>48</v>
      </c>
      <c r="B131" t="s">
        <v>49</v>
      </c>
      <c r="C131">
        <v>2007</v>
      </c>
      <c r="D131">
        <v>4</v>
      </c>
      <c r="E131">
        <v>62866</v>
      </c>
      <c r="F131" t="s">
        <v>44</v>
      </c>
    </row>
    <row r="132" spans="1:22" x14ac:dyDescent="0.2">
      <c r="A132" t="s">
        <v>48</v>
      </c>
      <c r="B132" t="s">
        <v>49</v>
      </c>
      <c r="C132">
        <v>2007</v>
      </c>
      <c r="D132">
        <v>5</v>
      </c>
      <c r="E132">
        <v>61788</v>
      </c>
      <c r="F132" t="s">
        <v>15</v>
      </c>
    </row>
    <row r="133" spans="1:22" x14ac:dyDescent="0.2">
      <c r="A133" t="s">
        <v>48</v>
      </c>
      <c r="B133" t="s">
        <v>49</v>
      </c>
      <c r="C133">
        <v>2007</v>
      </c>
      <c r="D133">
        <v>6</v>
      </c>
      <c r="E133">
        <v>71175</v>
      </c>
      <c r="F133" t="s">
        <v>44</v>
      </c>
    </row>
    <row r="134" spans="1:22" x14ac:dyDescent="0.2">
      <c r="A134" t="s">
        <v>48</v>
      </c>
      <c r="B134" t="s">
        <v>49</v>
      </c>
      <c r="C134">
        <v>2007</v>
      </c>
      <c r="D134">
        <v>7</v>
      </c>
      <c r="E134">
        <v>68164</v>
      </c>
      <c r="F134" t="s">
        <v>44</v>
      </c>
    </row>
    <row r="135" spans="1:22" x14ac:dyDescent="0.2">
      <c r="A135" t="s">
        <v>48</v>
      </c>
      <c r="B135" t="s">
        <v>49</v>
      </c>
      <c r="C135">
        <v>2007</v>
      </c>
      <c r="D135">
        <v>8</v>
      </c>
      <c r="E135">
        <v>62777</v>
      </c>
      <c r="F135" t="s">
        <v>15</v>
      </c>
      <c r="P135" t="s">
        <v>48</v>
      </c>
      <c r="Q135" t="s">
        <v>49</v>
      </c>
      <c r="R135" t="s">
        <v>27</v>
      </c>
      <c r="S135">
        <v>3</v>
      </c>
      <c r="T135">
        <v>13</v>
      </c>
      <c r="U135" t="s">
        <v>17</v>
      </c>
      <c r="V135" t="s">
        <v>18</v>
      </c>
    </row>
    <row r="136" spans="1:22" x14ac:dyDescent="0.2">
      <c r="A136" t="s">
        <v>48</v>
      </c>
      <c r="B136" t="s">
        <v>49</v>
      </c>
      <c r="C136">
        <v>2007</v>
      </c>
      <c r="D136">
        <v>9</v>
      </c>
      <c r="E136">
        <v>0</v>
      </c>
      <c r="F136" t="s">
        <v>14</v>
      </c>
    </row>
    <row r="137" spans="1:22" x14ac:dyDescent="0.2">
      <c r="A137" t="s">
        <v>48</v>
      </c>
      <c r="B137" t="s">
        <v>49</v>
      </c>
      <c r="C137">
        <v>2007</v>
      </c>
      <c r="D137">
        <v>10</v>
      </c>
      <c r="E137">
        <v>70003</v>
      </c>
      <c r="F137" t="s">
        <v>44</v>
      </c>
    </row>
    <row r="138" spans="1:22" x14ac:dyDescent="0.2">
      <c r="A138" t="s">
        <v>48</v>
      </c>
      <c r="B138" t="s">
        <v>49</v>
      </c>
      <c r="C138">
        <v>2007</v>
      </c>
      <c r="D138">
        <v>11</v>
      </c>
      <c r="E138">
        <v>68039</v>
      </c>
      <c r="F138" t="s">
        <v>44</v>
      </c>
    </row>
    <row r="139" spans="1:22" x14ac:dyDescent="0.2">
      <c r="A139" t="s">
        <v>48</v>
      </c>
      <c r="B139" t="s">
        <v>49</v>
      </c>
      <c r="C139">
        <v>2007</v>
      </c>
      <c r="D139">
        <v>12</v>
      </c>
      <c r="E139">
        <v>65423</v>
      </c>
      <c r="F139" t="s">
        <v>15</v>
      </c>
    </row>
    <row r="140" spans="1:22" x14ac:dyDescent="0.2">
      <c r="A140" t="s">
        <v>48</v>
      </c>
      <c r="B140" t="s">
        <v>49</v>
      </c>
      <c r="C140">
        <v>2007</v>
      </c>
      <c r="D140">
        <v>13</v>
      </c>
      <c r="E140">
        <v>62051</v>
      </c>
      <c r="F140" t="s">
        <v>15</v>
      </c>
    </row>
    <row r="141" spans="1:22" x14ac:dyDescent="0.2">
      <c r="A141" t="s">
        <v>48</v>
      </c>
      <c r="B141" t="s">
        <v>49</v>
      </c>
      <c r="C141">
        <v>2007</v>
      </c>
      <c r="D141">
        <v>14</v>
      </c>
      <c r="E141">
        <v>65143</v>
      </c>
      <c r="F141" t="s">
        <v>44</v>
      </c>
    </row>
    <row r="142" spans="1:22" x14ac:dyDescent="0.2">
      <c r="A142" t="s">
        <v>48</v>
      </c>
      <c r="B142" t="s">
        <v>49</v>
      </c>
      <c r="C142">
        <v>2007</v>
      </c>
      <c r="D142">
        <v>15</v>
      </c>
      <c r="E142">
        <v>66008</v>
      </c>
      <c r="F142" t="s">
        <v>15</v>
      </c>
    </row>
    <row r="143" spans="1:22" x14ac:dyDescent="0.2">
      <c r="A143" t="s">
        <v>48</v>
      </c>
      <c r="B143" t="s">
        <v>49</v>
      </c>
      <c r="C143">
        <v>2007</v>
      </c>
      <c r="D143">
        <v>16</v>
      </c>
      <c r="E143">
        <v>65705</v>
      </c>
      <c r="F143" t="s">
        <v>15</v>
      </c>
    </row>
    <row r="144" spans="1:22" x14ac:dyDescent="0.2">
      <c r="A144" t="s">
        <v>48</v>
      </c>
      <c r="B144" t="s">
        <v>49</v>
      </c>
      <c r="C144">
        <v>2007</v>
      </c>
      <c r="D144">
        <v>17</v>
      </c>
      <c r="E144">
        <v>64671</v>
      </c>
      <c r="F144" t="s">
        <v>44</v>
      </c>
    </row>
    <row r="145" spans="1:22" x14ac:dyDescent="0.2">
      <c r="A145" t="s">
        <v>0</v>
      </c>
      <c r="B145" t="s">
        <v>1</v>
      </c>
      <c r="C145" t="s">
        <v>2</v>
      </c>
      <c r="D145" t="s">
        <v>3</v>
      </c>
      <c r="E145" t="s">
        <v>4</v>
      </c>
      <c r="G145">
        <f>AVERAGEIF(F128:F144,"home",E128:E144)</f>
        <v>64294.25</v>
      </c>
      <c r="P145" t="s">
        <v>0</v>
      </c>
      <c r="Q145" t="s">
        <v>1</v>
      </c>
      <c r="R145" t="s">
        <v>2</v>
      </c>
      <c r="S145" t="s">
        <v>6</v>
      </c>
      <c r="T145" t="s">
        <v>7</v>
      </c>
      <c r="U145" t="s">
        <v>8</v>
      </c>
      <c r="V145" t="s">
        <v>9</v>
      </c>
    </row>
    <row r="146" spans="1:22" x14ac:dyDescent="0.2">
      <c r="A146" t="s">
        <v>48</v>
      </c>
      <c r="B146" t="s">
        <v>49</v>
      </c>
      <c r="C146">
        <v>2008</v>
      </c>
      <c r="D146">
        <v>1</v>
      </c>
      <c r="E146">
        <v>69144</v>
      </c>
      <c r="F146" t="s">
        <v>44</v>
      </c>
    </row>
    <row r="147" spans="1:22" x14ac:dyDescent="0.2">
      <c r="A147" t="s">
        <v>48</v>
      </c>
      <c r="B147" t="s">
        <v>49</v>
      </c>
      <c r="C147">
        <v>2008</v>
      </c>
      <c r="D147">
        <v>2</v>
      </c>
      <c r="E147">
        <v>61377</v>
      </c>
      <c r="F147" t="s">
        <v>15</v>
      </c>
    </row>
    <row r="148" spans="1:22" x14ac:dyDescent="0.2">
      <c r="A148" t="s">
        <v>48</v>
      </c>
      <c r="B148" t="s">
        <v>49</v>
      </c>
      <c r="C148">
        <v>2008</v>
      </c>
      <c r="D148">
        <v>3</v>
      </c>
      <c r="E148">
        <v>68012</v>
      </c>
      <c r="F148" t="s">
        <v>44</v>
      </c>
    </row>
    <row r="149" spans="1:22" x14ac:dyDescent="0.2">
      <c r="A149" t="s">
        <v>48</v>
      </c>
      <c r="B149" t="s">
        <v>49</v>
      </c>
      <c r="C149">
        <v>2008</v>
      </c>
      <c r="D149">
        <v>4</v>
      </c>
      <c r="E149">
        <v>61017</v>
      </c>
      <c r="F149" t="s">
        <v>15</v>
      </c>
    </row>
    <row r="150" spans="1:22" x14ac:dyDescent="0.2">
      <c r="A150" t="s">
        <v>48</v>
      </c>
      <c r="B150" t="s">
        <v>49</v>
      </c>
      <c r="C150">
        <v>2008</v>
      </c>
      <c r="D150">
        <v>5</v>
      </c>
      <c r="E150">
        <v>0</v>
      </c>
      <c r="F150" t="s">
        <v>14</v>
      </c>
    </row>
    <row r="151" spans="1:22" x14ac:dyDescent="0.2">
      <c r="A151" t="s">
        <v>48</v>
      </c>
      <c r="B151" t="s">
        <v>49</v>
      </c>
      <c r="C151">
        <v>2008</v>
      </c>
      <c r="D151">
        <v>6</v>
      </c>
      <c r="E151">
        <v>90376</v>
      </c>
      <c r="F151" t="s">
        <v>44</v>
      </c>
    </row>
    <row r="152" spans="1:22" x14ac:dyDescent="0.2">
      <c r="A152" t="s">
        <v>48</v>
      </c>
      <c r="B152" t="s">
        <v>49</v>
      </c>
      <c r="C152">
        <v>2008</v>
      </c>
      <c r="D152">
        <v>7</v>
      </c>
      <c r="E152">
        <v>62035</v>
      </c>
      <c r="F152" t="s">
        <v>15</v>
      </c>
    </row>
    <row r="153" spans="1:22" x14ac:dyDescent="0.2">
      <c r="A153" t="s">
        <v>48</v>
      </c>
      <c r="B153" t="s">
        <v>49</v>
      </c>
      <c r="C153">
        <v>2008</v>
      </c>
      <c r="D153">
        <v>8</v>
      </c>
      <c r="E153">
        <v>68756</v>
      </c>
      <c r="F153" t="s">
        <v>44</v>
      </c>
      <c r="P153" t="s">
        <v>48</v>
      </c>
      <c r="Q153" t="s">
        <v>49</v>
      </c>
      <c r="R153" t="s">
        <v>28</v>
      </c>
      <c r="S153">
        <v>2</v>
      </c>
      <c r="T153">
        <v>14</v>
      </c>
      <c r="U153" t="s">
        <v>17</v>
      </c>
      <c r="V153" t="s">
        <v>18</v>
      </c>
    </row>
    <row r="154" spans="1:22" x14ac:dyDescent="0.2">
      <c r="A154" t="s">
        <v>48</v>
      </c>
      <c r="B154" t="s">
        <v>49</v>
      </c>
      <c r="C154">
        <v>2008</v>
      </c>
      <c r="D154">
        <v>9</v>
      </c>
      <c r="E154">
        <v>61303</v>
      </c>
      <c r="F154" t="s">
        <v>15</v>
      </c>
    </row>
    <row r="155" spans="1:22" x14ac:dyDescent="0.2">
      <c r="A155" t="s">
        <v>48</v>
      </c>
      <c r="B155" t="s">
        <v>49</v>
      </c>
      <c r="C155">
        <v>2008</v>
      </c>
      <c r="D155">
        <v>10</v>
      </c>
      <c r="E155">
        <v>78073</v>
      </c>
      <c r="F155" t="s">
        <v>44</v>
      </c>
    </row>
    <row r="156" spans="1:22" x14ac:dyDescent="0.2">
      <c r="A156" t="s">
        <v>48</v>
      </c>
      <c r="B156" t="s">
        <v>49</v>
      </c>
      <c r="C156">
        <v>2008</v>
      </c>
      <c r="D156">
        <v>11</v>
      </c>
      <c r="E156">
        <v>67573</v>
      </c>
      <c r="F156" t="s">
        <v>44</v>
      </c>
    </row>
    <row r="157" spans="1:22" x14ac:dyDescent="0.2">
      <c r="A157" t="s">
        <v>48</v>
      </c>
      <c r="B157" t="s">
        <v>49</v>
      </c>
      <c r="C157">
        <v>2008</v>
      </c>
      <c r="D157">
        <v>12</v>
      </c>
      <c r="E157">
        <v>61994</v>
      </c>
      <c r="F157" t="s">
        <v>15</v>
      </c>
    </row>
    <row r="158" spans="1:22" x14ac:dyDescent="0.2">
      <c r="A158" t="s">
        <v>48</v>
      </c>
      <c r="B158" t="s">
        <v>49</v>
      </c>
      <c r="C158">
        <v>2008</v>
      </c>
      <c r="D158">
        <v>13</v>
      </c>
      <c r="E158">
        <v>61046</v>
      </c>
      <c r="F158" t="s">
        <v>15</v>
      </c>
    </row>
    <row r="159" spans="1:22" x14ac:dyDescent="0.2">
      <c r="A159" t="s">
        <v>48</v>
      </c>
      <c r="B159" t="s">
        <v>49</v>
      </c>
      <c r="C159">
        <v>2008</v>
      </c>
      <c r="D159">
        <v>14</v>
      </c>
      <c r="E159">
        <v>63720</v>
      </c>
      <c r="F159" t="s">
        <v>44</v>
      </c>
    </row>
    <row r="160" spans="1:22" x14ac:dyDescent="0.2">
      <c r="A160" t="s">
        <v>48</v>
      </c>
      <c r="B160" t="s">
        <v>49</v>
      </c>
      <c r="C160">
        <v>2008</v>
      </c>
      <c r="D160">
        <v>15</v>
      </c>
      <c r="E160">
        <v>56123</v>
      </c>
      <c r="F160" t="s">
        <v>15</v>
      </c>
    </row>
    <row r="161" spans="1:22" x14ac:dyDescent="0.2">
      <c r="A161" t="s">
        <v>48</v>
      </c>
      <c r="B161" t="s">
        <v>49</v>
      </c>
      <c r="C161">
        <v>2008</v>
      </c>
      <c r="D161">
        <v>16</v>
      </c>
      <c r="E161">
        <v>54948</v>
      </c>
      <c r="F161" t="s">
        <v>15</v>
      </c>
    </row>
    <row r="162" spans="1:22" x14ac:dyDescent="0.2">
      <c r="A162" t="s">
        <v>48</v>
      </c>
      <c r="B162" t="s">
        <v>49</v>
      </c>
      <c r="C162">
        <v>2008</v>
      </c>
      <c r="D162">
        <v>17</v>
      </c>
      <c r="E162">
        <v>64617</v>
      </c>
      <c r="F162" t="s">
        <v>44</v>
      </c>
    </row>
    <row r="163" spans="1:22" x14ac:dyDescent="0.2">
      <c r="A163" t="s">
        <v>0</v>
      </c>
      <c r="B163" t="s">
        <v>1</v>
      </c>
      <c r="C163" t="s">
        <v>2</v>
      </c>
      <c r="D163" t="s">
        <v>3</v>
      </c>
      <c r="E163" t="s">
        <v>4</v>
      </c>
      <c r="G163">
        <f>AVERAGEIF(F146:F162,"home",E146:E162)</f>
        <v>59980.375</v>
      </c>
      <c r="P163" t="s">
        <v>0</v>
      </c>
      <c r="Q163" t="s">
        <v>1</v>
      </c>
      <c r="R163" t="s">
        <v>2</v>
      </c>
      <c r="S163" t="s">
        <v>6</v>
      </c>
      <c r="T163" t="s">
        <v>7</v>
      </c>
      <c r="U163" t="s">
        <v>8</v>
      </c>
      <c r="V163" t="s">
        <v>9</v>
      </c>
    </row>
    <row r="164" spans="1:22" x14ac:dyDescent="0.2">
      <c r="A164" t="s">
        <v>48</v>
      </c>
      <c r="B164" t="s">
        <v>49</v>
      </c>
      <c r="C164">
        <v>2009</v>
      </c>
      <c r="D164">
        <v>1</v>
      </c>
      <c r="E164">
        <v>67610</v>
      </c>
      <c r="F164" t="s">
        <v>44</v>
      </c>
    </row>
    <row r="165" spans="1:22" x14ac:dyDescent="0.2">
      <c r="A165" t="s">
        <v>48</v>
      </c>
      <c r="B165" t="s">
        <v>49</v>
      </c>
      <c r="C165">
        <v>2009</v>
      </c>
      <c r="D165">
        <v>2</v>
      </c>
      <c r="E165">
        <v>87780</v>
      </c>
      <c r="F165" t="s">
        <v>44</v>
      </c>
    </row>
    <row r="166" spans="1:22" x14ac:dyDescent="0.2">
      <c r="A166" t="s">
        <v>48</v>
      </c>
      <c r="B166" t="s">
        <v>49</v>
      </c>
      <c r="C166">
        <v>2009</v>
      </c>
      <c r="D166">
        <v>3</v>
      </c>
      <c r="E166">
        <v>60234</v>
      </c>
      <c r="F166" t="s">
        <v>15</v>
      </c>
    </row>
    <row r="167" spans="1:22" x14ac:dyDescent="0.2">
      <c r="A167" t="s">
        <v>48</v>
      </c>
      <c r="B167" t="s">
        <v>49</v>
      </c>
      <c r="C167">
        <v>2009</v>
      </c>
      <c r="D167">
        <v>4</v>
      </c>
      <c r="E167">
        <v>69732</v>
      </c>
      <c r="F167" t="s">
        <v>44</v>
      </c>
    </row>
    <row r="168" spans="1:22" x14ac:dyDescent="0.2">
      <c r="A168" t="s">
        <v>48</v>
      </c>
      <c r="B168" t="s">
        <v>49</v>
      </c>
      <c r="C168">
        <v>2009</v>
      </c>
      <c r="D168">
        <v>5</v>
      </c>
      <c r="E168">
        <v>60166</v>
      </c>
      <c r="F168" t="s">
        <v>15</v>
      </c>
    </row>
    <row r="169" spans="1:22" x14ac:dyDescent="0.2">
      <c r="A169" t="s">
        <v>48</v>
      </c>
      <c r="B169" t="s">
        <v>49</v>
      </c>
      <c r="C169">
        <v>2009</v>
      </c>
      <c r="D169">
        <v>6</v>
      </c>
      <c r="E169">
        <v>42088</v>
      </c>
      <c r="F169" t="s">
        <v>44</v>
      </c>
    </row>
    <row r="170" spans="1:22" x14ac:dyDescent="0.2">
      <c r="A170" t="s">
        <v>48</v>
      </c>
      <c r="B170" t="s">
        <v>49</v>
      </c>
      <c r="C170">
        <v>2009</v>
      </c>
      <c r="D170">
        <v>7</v>
      </c>
      <c r="E170">
        <v>60108</v>
      </c>
      <c r="F170" t="s">
        <v>15</v>
      </c>
    </row>
    <row r="171" spans="1:22" x14ac:dyDescent="0.2">
      <c r="A171" t="s">
        <v>48</v>
      </c>
      <c r="B171" t="s">
        <v>49</v>
      </c>
      <c r="C171">
        <v>2009</v>
      </c>
      <c r="D171">
        <v>8</v>
      </c>
      <c r="E171">
        <v>40857</v>
      </c>
      <c r="F171" t="s">
        <v>44</v>
      </c>
      <c r="P171" t="s">
        <v>48</v>
      </c>
      <c r="Q171" t="s">
        <v>49</v>
      </c>
      <c r="R171" t="s">
        <v>31</v>
      </c>
      <c r="S171">
        <v>1</v>
      </c>
      <c r="T171">
        <v>15</v>
      </c>
      <c r="U171" t="s">
        <v>17</v>
      </c>
      <c r="V171" t="s">
        <v>18</v>
      </c>
    </row>
    <row r="172" spans="1:22" x14ac:dyDescent="0.2">
      <c r="A172" t="s">
        <v>48</v>
      </c>
      <c r="B172" t="s">
        <v>49</v>
      </c>
      <c r="C172">
        <v>2009</v>
      </c>
      <c r="D172">
        <v>9</v>
      </c>
      <c r="E172">
        <v>0</v>
      </c>
      <c r="F172" t="s">
        <v>14</v>
      </c>
    </row>
    <row r="173" spans="1:22" x14ac:dyDescent="0.2">
      <c r="A173" t="s">
        <v>48</v>
      </c>
      <c r="B173" t="s">
        <v>49</v>
      </c>
      <c r="C173">
        <v>2009</v>
      </c>
      <c r="D173">
        <v>10</v>
      </c>
      <c r="E173">
        <v>59858</v>
      </c>
      <c r="F173" t="s">
        <v>15</v>
      </c>
    </row>
    <row r="174" spans="1:22" x14ac:dyDescent="0.2">
      <c r="A174" t="s">
        <v>48</v>
      </c>
      <c r="B174" t="s">
        <v>49</v>
      </c>
      <c r="C174">
        <v>2009</v>
      </c>
      <c r="D174">
        <v>11</v>
      </c>
      <c r="E174">
        <v>59839</v>
      </c>
      <c r="F174" t="s">
        <v>15</v>
      </c>
    </row>
    <row r="175" spans="1:22" x14ac:dyDescent="0.2">
      <c r="A175" t="s">
        <v>48</v>
      </c>
      <c r="B175" t="s">
        <v>49</v>
      </c>
      <c r="C175">
        <v>2009</v>
      </c>
      <c r="D175">
        <v>12</v>
      </c>
      <c r="E175">
        <v>47475</v>
      </c>
      <c r="F175" t="s">
        <v>15</v>
      </c>
    </row>
    <row r="176" spans="1:22" x14ac:dyDescent="0.2">
      <c r="A176" t="s">
        <v>48</v>
      </c>
      <c r="B176" t="s">
        <v>49</v>
      </c>
      <c r="C176">
        <v>2009</v>
      </c>
      <c r="D176">
        <v>13</v>
      </c>
      <c r="E176">
        <v>61892</v>
      </c>
      <c r="F176" t="s">
        <v>44</v>
      </c>
    </row>
    <row r="177" spans="1:22" x14ac:dyDescent="0.2">
      <c r="A177" t="s">
        <v>48</v>
      </c>
      <c r="B177" t="s">
        <v>49</v>
      </c>
      <c r="C177">
        <v>2009</v>
      </c>
      <c r="D177">
        <v>14</v>
      </c>
      <c r="E177">
        <v>69143</v>
      </c>
      <c r="F177" t="s">
        <v>44</v>
      </c>
    </row>
    <row r="178" spans="1:22" x14ac:dyDescent="0.2">
      <c r="A178" t="s">
        <v>48</v>
      </c>
      <c r="B178" t="s">
        <v>49</v>
      </c>
      <c r="C178">
        <v>2009</v>
      </c>
      <c r="D178">
        <v>15</v>
      </c>
      <c r="E178">
        <v>46256</v>
      </c>
      <c r="F178" t="s">
        <v>15</v>
      </c>
    </row>
    <row r="179" spans="1:22" x14ac:dyDescent="0.2">
      <c r="A179" t="s">
        <v>48</v>
      </c>
      <c r="B179" t="s">
        <v>49</v>
      </c>
      <c r="C179">
        <v>2009</v>
      </c>
      <c r="D179">
        <v>16</v>
      </c>
      <c r="E179">
        <v>62624</v>
      </c>
      <c r="F179" t="s">
        <v>44</v>
      </c>
    </row>
    <row r="180" spans="1:22" x14ac:dyDescent="0.2">
      <c r="A180" t="s">
        <v>48</v>
      </c>
      <c r="B180" t="s">
        <v>49</v>
      </c>
      <c r="C180">
        <v>2009</v>
      </c>
      <c r="D180">
        <v>17</v>
      </c>
      <c r="E180">
        <v>47965</v>
      </c>
      <c r="F180" t="s">
        <v>15</v>
      </c>
    </row>
    <row r="181" spans="1:22" x14ac:dyDescent="0.2">
      <c r="A181" t="s">
        <v>0</v>
      </c>
      <c r="B181" t="s">
        <v>1</v>
      </c>
      <c r="C181" t="s">
        <v>2</v>
      </c>
      <c r="D181" t="s">
        <v>3</v>
      </c>
      <c r="E181" t="s">
        <v>4</v>
      </c>
      <c r="G181">
        <f>AVERAGEIF(F164:F180,"home",E164:E180)</f>
        <v>55237.625</v>
      </c>
      <c r="P181" t="s">
        <v>0</v>
      </c>
      <c r="Q181" t="s">
        <v>1</v>
      </c>
      <c r="R181" t="s">
        <v>2</v>
      </c>
      <c r="S181" t="s">
        <v>6</v>
      </c>
      <c r="T181" t="s">
        <v>7</v>
      </c>
      <c r="U181" t="s">
        <v>8</v>
      </c>
      <c r="V181" t="s">
        <v>9</v>
      </c>
    </row>
    <row r="182" spans="1:22" x14ac:dyDescent="0.2">
      <c r="A182" t="s">
        <v>48</v>
      </c>
      <c r="B182" t="s">
        <v>49</v>
      </c>
      <c r="C182">
        <v>2010</v>
      </c>
      <c r="D182">
        <v>1</v>
      </c>
      <c r="E182">
        <v>52440</v>
      </c>
      <c r="F182" t="s">
        <v>15</v>
      </c>
    </row>
    <row r="183" spans="1:22" x14ac:dyDescent="0.2">
      <c r="A183" t="s">
        <v>48</v>
      </c>
      <c r="B183" t="s">
        <v>49</v>
      </c>
      <c r="C183">
        <v>2010</v>
      </c>
      <c r="D183">
        <v>2</v>
      </c>
      <c r="E183">
        <v>48396</v>
      </c>
      <c r="F183" t="s">
        <v>44</v>
      </c>
    </row>
    <row r="184" spans="1:22" x14ac:dyDescent="0.2">
      <c r="A184" t="s">
        <v>48</v>
      </c>
      <c r="B184" t="s">
        <v>49</v>
      </c>
      <c r="C184">
        <v>2010</v>
      </c>
      <c r="D184">
        <v>3</v>
      </c>
      <c r="E184">
        <v>52370</v>
      </c>
      <c r="F184" t="s">
        <v>15</v>
      </c>
    </row>
    <row r="185" spans="1:22" x14ac:dyDescent="0.2">
      <c r="A185" t="s">
        <v>48</v>
      </c>
      <c r="B185" t="s">
        <v>49</v>
      </c>
      <c r="C185">
        <v>2010</v>
      </c>
      <c r="D185">
        <v>4</v>
      </c>
      <c r="E185">
        <v>52326</v>
      </c>
      <c r="F185" t="s">
        <v>15</v>
      </c>
    </row>
    <row r="186" spans="1:22" x14ac:dyDescent="0.2">
      <c r="A186" t="s">
        <v>48</v>
      </c>
      <c r="B186" t="s">
        <v>49</v>
      </c>
      <c r="C186">
        <v>2010</v>
      </c>
      <c r="D186">
        <v>5</v>
      </c>
      <c r="E186">
        <v>55714</v>
      </c>
      <c r="F186" t="s">
        <v>44</v>
      </c>
    </row>
    <row r="187" spans="1:22" x14ac:dyDescent="0.2">
      <c r="A187" t="s">
        <v>48</v>
      </c>
      <c r="B187" t="s">
        <v>49</v>
      </c>
      <c r="C187">
        <v>2010</v>
      </c>
      <c r="D187">
        <v>6</v>
      </c>
      <c r="E187">
        <v>52472</v>
      </c>
      <c r="F187" t="s">
        <v>15</v>
      </c>
    </row>
    <row r="188" spans="1:22" x14ac:dyDescent="0.2">
      <c r="A188" t="s">
        <v>48</v>
      </c>
      <c r="B188" t="s">
        <v>49</v>
      </c>
      <c r="C188">
        <v>2010</v>
      </c>
      <c r="D188">
        <v>7</v>
      </c>
      <c r="E188">
        <v>42020</v>
      </c>
      <c r="F188" t="s">
        <v>44</v>
      </c>
    </row>
    <row r="189" spans="1:22" x14ac:dyDescent="0.2">
      <c r="A189" t="s">
        <v>48</v>
      </c>
      <c r="B189" t="s">
        <v>49</v>
      </c>
      <c r="C189">
        <v>2010</v>
      </c>
      <c r="D189">
        <v>8</v>
      </c>
      <c r="E189">
        <v>52281</v>
      </c>
      <c r="F189" t="s">
        <v>15</v>
      </c>
      <c r="P189" t="s">
        <v>48</v>
      </c>
      <c r="Q189" t="s">
        <v>49</v>
      </c>
      <c r="R189" t="s">
        <v>32</v>
      </c>
      <c r="S189">
        <v>7</v>
      </c>
      <c r="T189">
        <v>9</v>
      </c>
      <c r="U189" t="s">
        <v>17</v>
      </c>
      <c r="V189" t="s">
        <v>18</v>
      </c>
    </row>
    <row r="190" spans="1:22" x14ac:dyDescent="0.2">
      <c r="A190" t="s">
        <v>48</v>
      </c>
      <c r="B190" t="s">
        <v>49</v>
      </c>
      <c r="C190">
        <v>2010</v>
      </c>
      <c r="D190">
        <v>9</v>
      </c>
      <c r="E190">
        <v>0</v>
      </c>
      <c r="F190" t="s">
        <v>14</v>
      </c>
    </row>
    <row r="191" spans="1:22" x14ac:dyDescent="0.2">
      <c r="A191" t="s">
        <v>48</v>
      </c>
      <c r="B191" t="s">
        <v>49</v>
      </c>
      <c r="C191">
        <v>2010</v>
      </c>
      <c r="D191">
        <v>10</v>
      </c>
      <c r="E191">
        <v>69732</v>
      </c>
      <c r="F191" t="s">
        <v>44</v>
      </c>
    </row>
    <row r="192" spans="1:22" x14ac:dyDescent="0.2">
      <c r="A192" t="s">
        <v>48</v>
      </c>
      <c r="B192" t="s">
        <v>49</v>
      </c>
      <c r="C192">
        <v>2010</v>
      </c>
      <c r="D192">
        <v>11</v>
      </c>
      <c r="E192">
        <v>53005</v>
      </c>
      <c r="F192" t="s">
        <v>15</v>
      </c>
    </row>
    <row r="193" spans="1:22" x14ac:dyDescent="0.2">
      <c r="A193" t="s">
        <v>48</v>
      </c>
      <c r="B193" t="s">
        <v>49</v>
      </c>
      <c r="C193">
        <v>2010</v>
      </c>
      <c r="D193">
        <v>12</v>
      </c>
      <c r="E193">
        <v>72736</v>
      </c>
      <c r="F193" t="s">
        <v>44</v>
      </c>
    </row>
    <row r="194" spans="1:22" x14ac:dyDescent="0.2">
      <c r="A194" t="s">
        <v>48</v>
      </c>
      <c r="B194" t="s">
        <v>49</v>
      </c>
      <c r="C194">
        <v>2010</v>
      </c>
      <c r="D194">
        <v>13</v>
      </c>
      <c r="E194">
        <v>61874</v>
      </c>
      <c r="F194" t="s">
        <v>44</v>
      </c>
    </row>
    <row r="195" spans="1:22" x14ac:dyDescent="0.2">
      <c r="A195" t="s">
        <v>48</v>
      </c>
      <c r="B195" t="s">
        <v>49</v>
      </c>
      <c r="C195">
        <v>2010</v>
      </c>
      <c r="D195">
        <v>14</v>
      </c>
      <c r="E195">
        <v>70015</v>
      </c>
      <c r="F195" t="s">
        <v>44</v>
      </c>
    </row>
    <row r="196" spans="1:22" x14ac:dyDescent="0.2">
      <c r="A196" t="s">
        <v>48</v>
      </c>
      <c r="B196" t="s">
        <v>49</v>
      </c>
      <c r="C196">
        <v>2010</v>
      </c>
      <c r="D196">
        <v>15</v>
      </c>
      <c r="E196">
        <v>55669</v>
      </c>
      <c r="F196" t="s">
        <v>15</v>
      </c>
    </row>
    <row r="197" spans="1:22" x14ac:dyDescent="0.2">
      <c r="A197" t="s">
        <v>48</v>
      </c>
      <c r="B197" t="s">
        <v>49</v>
      </c>
      <c r="C197">
        <v>2010</v>
      </c>
      <c r="D197">
        <v>16</v>
      </c>
      <c r="E197">
        <v>52820</v>
      </c>
      <c r="F197" t="s">
        <v>15</v>
      </c>
    </row>
    <row r="198" spans="1:22" x14ac:dyDescent="0.2">
      <c r="A198" t="s">
        <v>48</v>
      </c>
      <c r="B198" t="s">
        <v>49</v>
      </c>
      <c r="C198">
        <v>2010</v>
      </c>
      <c r="D198">
        <v>17</v>
      </c>
      <c r="E198">
        <v>67325</v>
      </c>
      <c r="F198" t="s">
        <v>44</v>
      </c>
    </row>
    <row r="199" spans="1:22" x14ac:dyDescent="0.2">
      <c r="A199" t="s">
        <v>0</v>
      </c>
      <c r="B199" t="s">
        <v>1</v>
      </c>
      <c r="C199" t="s">
        <v>2</v>
      </c>
      <c r="D199" t="s">
        <v>3</v>
      </c>
      <c r="E199" t="s">
        <v>4</v>
      </c>
      <c r="G199">
        <f>AVERAGEIF(F182:F198,"home",E182:E198)</f>
        <v>52922.875</v>
      </c>
      <c r="P199" t="s">
        <v>0</v>
      </c>
      <c r="Q199" t="s">
        <v>1</v>
      </c>
      <c r="R199" t="s">
        <v>2</v>
      </c>
      <c r="S199" t="s">
        <v>6</v>
      </c>
      <c r="T199" t="s">
        <v>7</v>
      </c>
      <c r="U199" t="s">
        <v>8</v>
      </c>
      <c r="V199" t="s">
        <v>9</v>
      </c>
    </row>
    <row r="200" spans="1:22" x14ac:dyDescent="0.2">
      <c r="A200" t="s">
        <v>48</v>
      </c>
      <c r="B200" t="s">
        <v>49</v>
      </c>
      <c r="C200">
        <v>2011</v>
      </c>
      <c r="D200">
        <v>1</v>
      </c>
      <c r="E200">
        <v>56722</v>
      </c>
      <c r="F200" t="s">
        <v>15</v>
      </c>
    </row>
    <row r="201" spans="1:22" x14ac:dyDescent="0.2">
      <c r="A201" t="s">
        <v>48</v>
      </c>
      <c r="B201" t="s">
        <v>49</v>
      </c>
      <c r="C201">
        <v>2011</v>
      </c>
      <c r="D201">
        <v>2</v>
      </c>
      <c r="E201">
        <v>78290</v>
      </c>
      <c r="F201" t="s">
        <v>44</v>
      </c>
    </row>
    <row r="202" spans="1:22" x14ac:dyDescent="0.2">
      <c r="A202" t="s">
        <v>48</v>
      </c>
      <c r="B202" t="s">
        <v>49</v>
      </c>
      <c r="C202">
        <v>2011</v>
      </c>
      <c r="D202">
        <v>3</v>
      </c>
      <c r="E202">
        <v>56289</v>
      </c>
      <c r="F202" t="s">
        <v>15</v>
      </c>
    </row>
    <row r="203" spans="1:22" x14ac:dyDescent="0.2">
      <c r="A203" t="s">
        <v>48</v>
      </c>
      <c r="B203" t="s">
        <v>49</v>
      </c>
      <c r="C203">
        <v>2011</v>
      </c>
      <c r="D203">
        <v>4</v>
      </c>
      <c r="E203">
        <v>56113</v>
      </c>
      <c r="F203" t="s">
        <v>15</v>
      </c>
    </row>
    <row r="204" spans="1:22" x14ac:dyDescent="0.2">
      <c r="A204" t="s">
        <v>48</v>
      </c>
      <c r="B204" t="s">
        <v>49</v>
      </c>
      <c r="C204">
        <v>2011</v>
      </c>
      <c r="D204">
        <v>5</v>
      </c>
      <c r="E204">
        <v>0</v>
      </c>
      <c r="F204" t="s">
        <v>14</v>
      </c>
    </row>
    <row r="205" spans="1:22" x14ac:dyDescent="0.2">
      <c r="A205" t="s">
        <v>48</v>
      </c>
      <c r="B205" t="s">
        <v>49</v>
      </c>
      <c r="C205">
        <v>2011</v>
      </c>
      <c r="D205">
        <v>6</v>
      </c>
      <c r="E205">
        <v>70604</v>
      </c>
      <c r="F205" t="s">
        <v>44</v>
      </c>
    </row>
    <row r="206" spans="1:22" x14ac:dyDescent="0.2">
      <c r="A206" t="s">
        <v>48</v>
      </c>
      <c r="B206" t="s">
        <v>49</v>
      </c>
      <c r="C206">
        <v>2011</v>
      </c>
      <c r="D206">
        <v>7</v>
      </c>
      <c r="E206">
        <v>80086</v>
      </c>
      <c r="F206" t="s">
        <v>44</v>
      </c>
    </row>
    <row r="207" spans="1:22" x14ac:dyDescent="0.2">
      <c r="A207" t="s">
        <v>48</v>
      </c>
      <c r="B207" t="s">
        <v>49</v>
      </c>
      <c r="C207">
        <v>2011</v>
      </c>
      <c r="D207">
        <v>8</v>
      </c>
      <c r="E207">
        <v>57179</v>
      </c>
      <c r="F207" t="s">
        <v>15</v>
      </c>
      <c r="P207" t="s">
        <v>48</v>
      </c>
      <c r="Q207" t="s">
        <v>49</v>
      </c>
      <c r="R207" t="s">
        <v>33</v>
      </c>
      <c r="S207">
        <v>2</v>
      </c>
      <c r="T207">
        <v>14</v>
      </c>
      <c r="U207" t="s">
        <v>17</v>
      </c>
      <c r="V207" t="s">
        <v>18</v>
      </c>
    </row>
    <row r="208" spans="1:22" x14ac:dyDescent="0.2">
      <c r="A208" t="s">
        <v>48</v>
      </c>
      <c r="B208" t="s">
        <v>49</v>
      </c>
      <c r="C208">
        <v>2011</v>
      </c>
      <c r="D208">
        <v>9</v>
      </c>
      <c r="E208">
        <v>60628</v>
      </c>
      <c r="F208" t="s">
        <v>44</v>
      </c>
    </row>
    <row r="209" spans="1:22" x14ac:dyDescent="0.2">
      <c r="A209" t="s">
        <v>48</v>
      </c>
      <c r="B209" t="s">
        <v>49</v>
      </c>
      <c r="C209">
        <v>2011</v>
      </c>
      <c r="D209">
        <v>10</v>
      </c>
      <c r="E209">
        <v>64900</v>
      </c>
      <c r="F209" t="s">
        <v>44</v>
      </c>
    </row>
    <row r="210" spans="1:22" x14ac:dyDescent="0.2">
      <c r="A210" t="s">
        <v>48</v>
      </c>
      <c r="B210" t="s">
        <v>49</v>
      </c>
      <c r="C210">
        <v>2011</v>
      </c>
      <c r="D210">
        <v>11</v>
      </c>
      <c r="E210">
        <v>56400</v>
      </c>
      <c r="F210" t="s">
        <v>15</v>
      </c>
    </row>
    <row r="211" spans="1:22" x14ac:dyDescent="0.2">
      <c r="A211" t="s">
        <v>48</v>
      </c>
      <c r="B211" t="s">
        <v>49</v>
      </c>
      <c r="C211">
        <v>2011</v>
      </c>
      <c r="D211">
        <v>12</v>
      </c>
      <c r="E211">
        <v>56029</v>
      </c>
      <c r="F211" t="s">
        <v>15</v>
      </c>
    </row>
    <row r="212" spans="1:22" x14ac:dyDescent="0.2">
      <c r="A212" t="s">
        <v>48</v>
      </c>
      <c r="B212" t="s">
        <v>49</v>
      </c>
      <c r="C212">
        <v>2011</v>
      </c>
      <c r="D212">
        <v>13</v>
      </c>
      <c r="E212">
        <v>69732</v>
      </c>
      <c r="F212" t="s">
        <v>44</v>
      </c>
    </row>
    <row r="213" spans="1:22" x14ac:dyDescent="0.2">
      <c r="A213" t="s">
        <v>48</v>
      </c>
      <c r="B213" t="s">
        <v>49</v>
      </c>
      <c r="C213">
        <v>2011</v>
      </c>
      <c r="D213">
        <v>14</v>
      </c>
      <c r="E213">
        <v>66577</v>
      </c>
      <c r="F213" t="s">
        <v>44</v>
      </c>
    </row>
    <row r="214" spans="1:22" x14ac:dyDescent="0.2">
      <c r="A214" t="s">
        <v>48</v>
      </c>
      <c r="B214" t="s">
        <v>49</v>
      </c>
      <c r="C214">
        <v>2011</v>
      </c>
      <c r="D214">
        <v>15</v>
      </c>
      <c r="E214">
        <v>56431</v>
      </c>
      <c r="F214" t="s">
        <v>15</v>
      </c>
    </row>
    <row r="215" spans="1:22" x14ac:dyDescent="0.2">
      <c r="A215" t="s">
        <v>48</v>
      </c>
      <c r="B215" t="s">
        <v>49</v>
      </c>
      <c r="C215">
        <v>2011</v>
      </c>
      <c r="D215">
        <v>16</v>
      </c>
      <c r="E215">
        <v>60081</v>
      </c>
      <c r="F215" t="s">
        <v>44</v>
      </c>
    </row>
    <row r="216" spans="1:22" x14ac:dyDescent="0.2">
      <c r="A216" t="s">
        <v>48</v>
      </c>
      <c r="B216" t="s">
        <v>49</v>
      </c>
      <c r="C216">
        <v>2011</v>
      </c>
      <c r="D216">
        <v>17</v>
      </c>
      <c r="E216">
        <v>55990</v>
      </c>
      <c r="F216" t="s">
        <v>15</v>
      </c>
    </row>
    <row r="217" spans="1:22" x14ac:dyDescent="0.2">
      <c r="A217" t="s">
        <v>0</v>
      </c>
      <c r="B217" t="s">
        <v>1</v>
      </c>
      <c r="C217" t="s">
        <v>2</v>
      </c>
      <c r="D217" t="s">
        <v>3</v>
      </c>
      <c r="E217" t="s">
        <v>4</v>
      </c>
      <c r="G217">
        <f>AVERAGEIF(F200:F216,"home",E200:E216)</f>
        <v>56394.125</v>
      </c>
      <c r="P217" t="s">
        <v>0</v>
      </c>
      <c r="Q217" t="s">
        <v>1</v>
      </c>
      <c r="R217" t="s">
        <v>2</v>
      </c>
      <c r="S217" t="s">
        <v>6</v>
      </c>
      <c r="T217" t="s">
        <v>7</v>
      </c>
      <c r="U217" t="s">
        <v>8</v>
      </c>
      <c r="V217" t="s">
        <v>9</v>
      </c>
    </row>
    <row r="218" spans="1:22" x14ac:dyDescent="0.2">
      <c r="A218" t="s">
        <v>48</v>
      </c>
      <c r="B218" t="s">
        <v>49</v>
      </c>
      <c r="C218">
        <v>2012</v>
      </c>
      <c r="D218">
        <v>1</v>
      </c>
      <c r="E218">
        <v>62315</v>
      </c>
      <c r="F218" t="s">
        <v>44</v>
      </c>
    </row>
    <row r="219" spans="1:22" x14ac:dyDescent="0.2">
      <c r="A219" t="s">
        <v>48</v>
      </c>
      <c r="B219" t="s">
        <v>49</v>
      </c>
      <c r="C219">
        <v>2012</v>
      </c>
      <c r="D219">
        <v>2</v>
      </c>
      <c r="E219">
        <v>53979</v>
      </c>
      <c r="F219" t="s">
        <v>15</v>
      </c>
    </row>
    <row r="220" spans="1:22" x14ac:dyDescent="0.2">
      <c r="A220" t="s">
        <v>48</v>
      </c>
      <c r="B220" t="s">
        <v>49</v>
      </c>
      <c r="C220">
        <v>2012</v>
      </c>
      <c r="D220">
        <v>3</v>
      </c>
      <c r="E220">
        <v>62224</v>
      </c>
      <c r="F220" t="s">
        <v>44</v>
      </c>
    </row>
    <row r="221" spans="1:22" x14ac:dyDescent="0.2">
      <c r="A221" t="s">
        <v>48</v>
      </c>
      <c r="B221" t="s">
        <v>49</v>
      </c>
      <c r="C221">
        <v>2012</v>
      </c>
      <c r="D221">
        <v>4</v>
      </c>
      <c r="E221">
        <v>53193</v>
      </c>
      <c r="F221" t="s">
        <v>15</v>
      </c>
    </row>
    <row r="222" spans="1:22" x14ac:dyDescent="0.2">
      <c r="A222" t="s">
        <v>48</v>
      </c>
      <c r="B222" t="s">
        <v>49</v>
      </c>
      <c r="C222">
        <v>2012</v>
      </c>
      <c r="D222">
        <v>5</v>
      </c>
      <c r="E222">
        <v>54653</v>
      </c>
      <c r="F222" t="s">
        <v>15</v>
      </c>
    </row>
    <row r="223" spans="1:22" x14ac:dyDescent="0.2">
      <c r="A223" t="s">
        <v>48</v>
      </c>
      <c r="B223" t="s">
        <v>49</v>
      </c>
      <c r="C223">
        <v>2012</v>
      </c>
      <c r="D223">
        <v>6</v>
      </c>
      <c r="E223">
        <v>52983</v>
      </c>
      <c r="F223" t="s">
        <v>44</v>
      </c>
    </row>
    <row r="224" spans="1:22" x14ac:dyDescent="0.2">
      <c r="A224" t="s">
        <v>48</v>
      </c>
      <c r="B224" t="s">
        <v>49</v>
      </c>
      <c r="C224">
        <v>2012</v>
      </c>
      <c r="D224">
        <v>7</v>
      </c>
      <c r="E224">
        <v>64359</v>
      </c>
      <c r="F224" t="s">
        <v>15</v>
      </c>
    </row>
    <row r="225" spans="1:22" x14ac:dyDescent="0.2">
      <c r="A225" t="s">
        <v>48</v>
      </c>
      <c r="B225" t="s">
        <v>49</v>
      </c>
      <c r="C225">
        <v>2012</v>
      </c>
      <c r="D225">
        <v>8</v>
      </c>
      <c r="E225">
        <v>64004</v>
      </c>
      <c r="F225" t="s">
        <v>15</v>
      </c>
      <c r="P225" t="s">
        <v>48</v>
      </c>
      <c r="Q225" t="s">
        <v>49</v>
      </c>
      <c r="R225" t="s">
        <v>34</v>
      </c>
      <c r="S225">
        <v>7</v>
      </c>
      <c r="T225">
        <v>8</v>
      </c>
      <c r="U225" t="s">
        <v>17</v>
      </c>
      <c r="V225" t="s">
        <v>18</v>
      </c>
    </row>
    <row r="226" spans="1:22" x14ac:dyDescent="0.2">
      <c r="A226" t="s">
        <v>48</v>
      </c>
      <c r="B226" t="s">
        <v>49</v>
      </c>
      <c r="C226">
        <v>2012</v>
      </c>
      <c r="D226">
        <v>9</v>
      </c>
      <c r="E226">
        <v>0</v>
      </c>
      <c r="F226" t="s">
        <v>14</v>
      </c>
    </row>
    <row r="227" spans="1:22" x14ac:dyDescent="0.2">
      <c r="A227" t="s">
        <v>48</v>
      </c>
      <c r="B227" t="s">
        <v>49</v>
      </c>
      <c r="C227">
        <v>2012</v>
      </c>
      <c r="D227">
        <v>10</v>
      </c>
      <c r="E227">
        <v>69732</v>
      </c>
      <c r="F227" t="s">
        <v>44</v>
      </c>
    </row>
    <row r="228" spans="1:22" x14ac:dyDescent="0.2">
      <c r="A228" t="s">
        <v>48</v>
      </c>
      <c r="B228" t="s">
        <v>49</v>
      </c>
      <c r="C228">
        <v>2012</v>
      </c>
      <c r="D228">
        <v>11</v>
      </c>
      <c r="E228">
        <v>57711</v>
      </c>
      <c r="F228" t="s">
        <v>15</v>
      </c>
    </row>
    <row r="229" spans="1:22" x14ac:dyDescent="0.2">
      <c r="A229" t="s">
        <v>48</v>
      </c>
      <c r="B229" t="s">
        <v>49</v>
      </c>
      <c r="C229">
        <v>2012</v>
      </c>
      <c r="D229">
        <v>12</v>
      </c>
      <c r="E229">
        <v>60062</v>
      </c>
      <c r="F229" t="s">
        <v>44</v>
      </c>
    </row>
    <row r="230" spans="1:22" x14ac:dyDescent="0.2">
      <c r="A230" t="s">
        <v>48</v>
      </c>
      <c r="B230" t="s">
        <v>49</v>
      </c>
      <c r="C230">
        <v>2012</v>
      </c>
      <c r="D230">
        <v>13</v>
      </c>
      <c r="E230">
        <v>57279</v>
      </c>
      <c r="F230" t="s">
        <v>15</v>
      </c>
    </row>
    <row r="231" spans="1:22" x14ac:dyDescent="0.2">
      <c r="A231" t="s">
        <v>48</v>
      </c>
      <c r="B231" t="s">
        <v>49</v>
      </c>
      <c r="C231">
        <v>2012</v>
      </c>
      <c r="D231">
        <v>14</v>
      </c>
      <c r="E231">
        <v>68109</v>
      </c>
      <c r="F231" t="s">
        <v>44</v>
      </c>
    </row>
    <row r="232" spans="1:22" x14ac:dyDescent="0.2">
      <c r="A232" t="s">
        <v>48</v>
      </c>
      <c r="B232" t="s">
        <v>49</v>
      </c>
      <c r="C232">
        <v>2012</v>
      </c>
      <c r="D232">
        <v>15</v>
      </c>
      <c r="E232">
        <v>55751</v>
      </c>
      <c r="F232" t="s">
        <v>15</v>
      </c>
    </row>
    <row r="233" spans="1:22" x14ac:dyDescent="0.2">
      <c r="A233" t="s">
        <v>48</v>
      </c>
      <c r="B233" t="s">
        <v>49</v>
      </c>
      <c r="C233">
        <v>2012</v>
      </c>
      <c r="D233">
        <v>16</v>
      </c>
      <c r="E233">
        <v>51535</v>
      </c>
      <c r="F233" t="s">
        <v>44</v>
      </c>
    </row>
    <row r="234" spans="1:22" x14ac:dyDescent="0.2">
      <c r="A234" t="s">
        <v>48</v>
      </c>
      <c r="B234" t="s">
        <v>49</v>
      </c>
      <c r="C234">
        <v>2012</v>
      </c>
      <c r="D234">
        <v>17</v>
      </c>
      <c r="E234">
        <v>67936</v>
      </c>
      <c r="F234" t="s">
        <v>44</v>
      </c>
    </row>
    <row r="235" spans="1:22" x14ac:dyDescent="0.2">
      <c r="A235" t="s">
        <v>0</v>
      </c>
      <c r="B235" t="s">
        <v>1</v>
      </c>
      <c r="C235" t="s">
        <v>2</v>
      </c>
      <c r="D235" t="s">
        <v>3</v>
      </c>
      <c r="E235" t="s">
        <v>4</v>
      </c>
      <c r="G235">
        <f>AVERAGEIF(F218:F234,"home",E218:E234)</f>
        <v>57616.125</v>
      </c>
      <c r="P235" t="s">
        <v>0</v>
      </c>
      <c r="Q235" t="s">
        <v>1</v>
      </c>
      <c r="R235" t="s">
        <v>2</v>
      </c>
      <c r="S235" t="s">
        <v>6</v>
      </c>
      <c r="T235" t="s">
        <v>7</v>
      </c>
      <c r="U235" t="s">
        <v>8</v>
      </c>
      <c r="V235" t="s">
        <v>9</v>
      </c>
    </row>
    <row r="236" spans="1:22" x14ac:dyDescent="0.2">
      <c r="A236" t="s">
        <v>48</v>
      </c>
      <c r="B236" t="s">
        <v>49</v>
      </c>
      <c r="C236">
        <v>2013</v>
      </c>
      <c r="D236">
        <v>1</v>
      </c>
      <c r="E236">
        <v>55279</v>
      </c>
      <c r="F236" t="s">
        <v>15</v>
      </c>
    </row>
    <row r="237" spans="1:22" x14ac:dyDescent="0.2">
      <c r="A237" t="s">
        <v>48</v>
      </c>
      <c r="B237" t="s">
        <v>49</v>
      </c>
      <c r="C237">
        <v>2013</v>
      </c>
      <c r="D237">
        <v>2</v>
      </c>
      <c r="E237">
        <v>70056</v>
      </c>
      <c r="F237" t="s">
        <v>44</v>
      </c>
    </row>
    <row r="238" spans="1:22" x14ac:dyDescent="0.2">
      <c r="A238" t="s">
        <v>48</v>
      </c>
      <c r="B238" t="s">
        <v>49</v>
      </c>
      <c r="C238">
        <v>2013</v>
      </c>
      <c r="D238">
        <v>3</v>
      </c>
      <c r="E238">
        <v>80848</v>
      </c>
      <c r="F238" t="s">
        <v>44</v>
      </c>
    </row>
    <row r="239" spans="1:22" x14ac:dyDescent="0.2">
      <c r="A239" t="s">
        <v>48</v>
      </c>
      <c r="B239" t="s">
        <v>49</v>
      </c>
      <c r="C239">
        <v>2013</v>
      </c>
      <c r="D239">
        <v>4</v>
      </c>
      <c r="E239">
        <v>56640</v>
      </c>
      <c r="F239" t="s">
        <v>15</v>
      </c>
    </row>
    <row r="240" spans="1:22" x14ac:dyDescent="0.2">
      <c r="A240" t="s">
        <v>48</v>
      </c>
      <c r="B240" t="s">
        <v>49</v>
      </c>
      <c r="C240">
        <v>2013</v>
      </c>
      <c r="D240">
        <v>5</v>
      </c>
      <c r="E240">
        <v>54266</v>
      </c>
      <c r="F240" t="s">
        <v>15</v>
      </c>
    </row>
    <row r="241" spans="1:22" x14ac:dyDescent="0.2">
      <c r="A241" t="s">
        <v>48</v>
      </c>
      <c r="B241" t="s">
        <v>49</v>
      </c>
      <c r="C241">
        <v>2013</v>
      </c>
      <c r="D241">
        <v>6</v>
      </c>
      <c r="E241">
        <v>71104</v>
      </c>
      <c r="F241" t="s">
        <v>44</v>
      </c>
    </row>
    <row r="242" spans="1:22" x14ac:dyDescent="0.2">
      <c r="A242" t="s">
        <v>48</v>
      </c>
      <c r="B242" t="s">
        <v>49</v>
      </c>
      <c r="C242">
        <v>2013</v>
      </c>
      <c r="D242">
        <v>7</v>
      </c>
      <c r="E242">
        <v>72686</v>
      </c>
      <c r="F242" t="s">
        <v>44</v>
      </c>
    </row>
    <row r="243" spans="1:22" x14ac:dyDescent="0.2">
      <c r="A243" t="s">
        <v>48</v>
      </c>
      <c r="B243" t="s">
        <v>49</v>
      </c>
      <c r="C243">
        <v>2013</v>
      </c>
      <c r="D243">
        <v>8</v>
      </c>
      <c r="E243">
        <v>55966</v>
      </c>
      <c r="F243" t="s">
        <v>15</v>
      </c>
      <c r="P243" t="s">
        <v>48</v>
      </c>
      <c r="Q243" t="s">
        <v>49</v>
      </c>
      <c r="R243" t="s">
        <v>35</v>
      </c>
      <c r="S243">
        <v>7</v>
      </c>
      <c r="T243">
        <v>9</v>
      </c>
      <c r="U243" t="s">
        <v>17</v>
      </c>
      <c r="V243" t="s">
        <v>18</v>
      </c>
    </row>
    <row r="244" spans="1:22" x14ac:dyDescent="0.2">
      <c r="A244" t="s">
        <v>48</v>
      </c>
      <c r="B244" t="s">
        <v>49</v>
      </c>
      <c r="C244">
        <v>2013</v>
      </c>
      <c r="D244">
        <v>9</v>
      </c>
      <c r="E244">
        <v>54617</v>
      </c>
      <c r="F244" t="s">
        <v>15</v>
      </c>
    </row>
    <row r="245" spans="1:22" x14ac:dyDescent="0.2">
      <c r="A245" t="s">
        <v>48</v>
      </c>
      <c r="B245" t="s">
        <v>49</v>
      </c>
      <c r="C245">
        <v>2013</v>
      </c>
      <c r="D245">
        <v>10</v>
      </c>
      <c r="E245">
        <v>66004</v>
      </c>
      <c r="F245" t="s">
        <v>44</v>
      </c>
    </row>
    <row r="246" spans="1:22" x14ac:dyDescent="0.2">
      <c r="A246" t="s">
        <v>48</v>
      </c>
      <c r="B246" t="s">
        <v>49</v>
      </c>
      <c r="C246">
        <v>2013</v>
      </c>
      <c r="D246">
        <v>11</v>
      </c>
      <c r="E246">
        <v>0</v>
      </c>
      <c r="F246" t="s">
        <v>14</v>
      </c>
    </row>
    <row r="247" spans="1:22" x14ac:dyDescent="0.2">
      <c r="A247" t="s">
        <v>48</v>
      </c>
      <c r="B247" t="s">
        <v>49</v>
      </c>
      <c r="C247">
        <v>2013</v>
      </c>
      <c r="D247">
        <v>12</v>
      </c>
      <c r="E247">
        <v>66024</v>
      </c>
      <c r="F247" t="s">
        <v>15</v>
      </c>
    </row>
    <row r="248" spans="1:22" x14ac:dyDescent="0.2">
      <c r="A248" t="s">
        <v>48</v>
      </c>
      <c r="B248" t="s">
        <v>49</v>
      </c>
      <c r="C248">
        <v>2013</v>
      </c>
      <c r="D248">
        <v>13</v>
      </c>
      <c r="E248">
        <v>69732</v>
      </c>
      <c r="F248" t="s">
        <v>44</v>
      </c>
    </row>
    <row r="249" spans="1:22" x14ac:dyDescent="0.2">
      <c r="A249" t="s">
        <v>48</v>
      </c>
      <c r="B249" t="s">
        <v>49</v>
      </c>
      <c r="C249">
        <v>2013</v>
      </c>
      <c r="D249">
        <v>14</v>
      </c>
      <c r="E249">
        <v>60643</v>
      </c>
      <c r="F249" t="s">
        <v>44</v>
      </c>
    </row>
    <row r="250" spans="1:22" x14ac:dyDescent="0.2">
      <c r="A250" t="s">
        <v>48</v>
      </c>
      <c r="B250" t="s">
        <v>49</v>
      </c>
      <c r="C250">
        <v>2013</v>
      </c>
      <c r="D250">
        <v>15</v>
      </c>
      <c r="E250">
        <v>58442</v>
      </c>
      <c r="F250" t="s">
        <v>15</v>
      </c>
    </row>
    <row r="251" spans="1:22" x14ac:dyDescent="0.2">
      <c r="A251" t="s">
        <v>48</v>
      </c>
      <c r="B251" t="s">
        <v>49</v>
      </c>
      <c r="C251">
        <v>2013</v>
      </c>
      <c r="D251">
        <v>16</v>
      </c>
      <c r="E251">
        <v>54423</v>
      </c>
      <c r="F251" t="s">
        <v>15</v>
      </c>
    </row>
    <row r="252" spans="1:22" x14ac:dyDescent="0.2">
      <c r="A252" t="s">
        <v>48</v>
      </c>
      <c r="B252" t="s">
        <v>49</v>
      </c>
      <c r="C252">
        <v>2013</v>
      </c>
      <c r="D252">
        <v>17</v>
      </c>
      <c r="E252">
        <v>68264</v>
      </c>
      <c r="F252" t="s">
        <v>44</v>
      </c>
    </row>
    <row r="253" spans="1:22" x14ac:dyDescent="0.2">
      <c r="A253" t="s">
        <v>0</v>
      </c>
      <c r="B253" t="s">
        <v>1</v>
      </c>
      <c r="C253" t="s">
        <v>2</v>
      </c>
      <c r="D253" t="s">
        <v>3</v>
      </c>
      <c r="E253" t="s">
        <v>4</v>
      </c>
      <c r="G253">
        <f>AVERAGEIF(F236:F252,"home",E236:E252)</f>
        <v>56957.125</v>
      </c>
      <c r="P253" t="s">
        <v>0</v>
      </c>
      <c r="Q253" t="s">
        <v>1</v>
      </c>
      <c r="R253" t="s">
        <v>2</v>
      </c>
      <c r="S253" t="s">
        <v>6</v>
      </c>
      <c r="T253" t="s">
        <v>7</v>
      </c>
      <c r="U253" t="s">
        <v>8</v>
      </c>
      <c r="V253" t="s">
        <v>9</v>
      </c>
    </row>
    <row r="254" spans="1:22" x14ac:dyDescent="0.2">
      <c r="A254" t="s">
        <v>48</v>
      </c>
      <c r="B254" t="s">
        <v>49</v>
      </c>
      <c r="C254">
        <v>2014</v>
      </c>
      <c r="D254">
        <v>1</v>
      </c>
      <c r="E254">
        <v>55919</v>
      </c>
      <c r="F254" t="s">
        <v>15</v>
      </c>
    </row>
    <row r="255" spans="1:22" x14ac:dyDescent="0.2">
      <c r="A255" t="s">
        <v>48</v>
      </c>
      <c r="B255" t="s">
        <v>49</v>
      </c>
      <c r="C255">
        <v>2014</v>
      </c>
      <c r="D255">
        <v>2</v>
      </c>
      <c r="E255">
        <v>59923</v>
      </c>
      <c r="F255" t="s">
        <v>44</v>
      </c>
    </row>
    <row r="256" spans="1:22" x14ac:dyDescent="0.2">
      <c r="A256" t="s">
        <v>48</v>
      </c>
      <c r="B256" t="s">
        <v>49</v>
      </c>
      <c r="C256">
        <v>2014</v>
      </c>
      <c r="D256">
        <v>3</v>
      </c>
      <c r="E256">
        <v>58739</v>
      </c>
      <c r="F256" t="s">
        <v>15</v>
      </c>
    </row>
    <row r="257" spans="1:22" x14ac:dyDescent="0.2">
      <c r="A257" t="s">
        <v>48</v>
      </c>
      <c r="B257" t="s">
        <v>49</v>
      </c>
      <c r="C257">
        <v>2014</v>
      </c>
      <c r="D257">
        <v>4</v>
      </c>
      <c r="E257">
        <v>0</v>
      </c>
      <c r="F257" t="s">
        <v>14</v>
      </c>
    </row>
    <row r="258" spans="1:22" x14ac:dyDescent="0.2">
      <c r="A258" t="s">
        <v>48</v>
      </c>
      <c r="B258" t="s">
        <v>49</v>
      </c>
      <c r="C258">
        <v>2014</v>
      </c>
      <c r="D258">
        <v>5</v>
      </c>
      <c r="E258">
        <v>69596</v>
      </c>
      <c r="F258" t="s">
        <v>44</v>
      </c>
    </row>
    <row r="259" spans="1:22" x14ac:dyDescent="0.2">
      <c r="A259" t="s">
        <v>48</v>
      </c>
      <c r="B259" t="s">
        <v>49</v>
      </c>
      <c r="C259">
        <v>2014</v>
      </c>
      <c r="D259">
        <v>6</v>
      </c>
      <c r="E259">
        <v>56851</v>
      </c>
      <c r="F259" t="s">
        <v>15</v>
      </c>
    </row>
    <row r="260" spans="1:22" x14ac:dyDescent="0.2">
      <c r="A260" t="s">
        <v>48</v>
      </c>
      <c r="B260" t="s">
        <v>49</v>
      </c>
      <c r="C260">
        <v>2014</v>
      </c>
      <c r="D260">
        <v>7</v>
      </c>
      <c r="E260">
        <v>57855</v>
      </c>
      <c r="F260" t="s">
        <v>15</v>
      </c>
    </row>
    <row r="261" spans="1:22" x14ac:dyDescent="0.2">
      <c r="A261" t="s">
        <v>48</v>
      </c>
      <c r="B261" t="s">
        <v>49</v>
      </c>
      <c r="C261">
        <v>2014</v>
      </c>
      <c r="D261">
        <v>8</v>
      </c>
      <c r="E261">
        <v>75972</v>
      </c>
      <c r="F261" t="s">
        <v>44</v>
      </c>
      <c r="P261" t="s">
        <v>48</v>
      </c>
      <c r="Q261" t="s">
        <v>49</v>
      </c>
      <c r="R261" t="s">
        <v>36</v>
      </c>
      <c r="S261">
        <v>6</v>
      </c>
      <c r="T261">
        <v>10</v>
      </c>
      <c r="U261" t="s">
        <v>17</v>
      </c>
      <c r="V261" t="s">
        <v>18</v>
      </c>
    </row>
    <row r="262" spans="1:22" x14ac:dyDescent="0.2">
      <c r="A262" t="s">
        <v>48</v>
      </c>
      <c r="B262" t="s">
        <v>49</v>
      </c>
      <c r="C262">
        <v>2014</v>
      </c>
      <c r="D262">
        <v>9</v>
      </c>
      <c r="E262">
        <v>70799</v>
      </c>
      <c r="F262" t="s">
        <v>44</v>
      </c>
    </row>
    <row r="263" spans="1:22" x14ac:dyDescent="0.2">
      <c r="A263" t="s">
        <v>48</v>
      </c>
      <c r="B263" t="s">
        <v>49</v>
      </c>
      <c r="C263">
        <v>2014</v>
      </c>
      <c r="D263">
        <v>10</v>
      </c>
      <c r="E263">
        <v>61363</v>
      </c>
      <c r="F263" t="s">
        <v>44</v>
      </c>
    </row>
    <row r="264" spans="1:22" x14ac:dyDescent="0.2">
      <c r="A264" t="s">
        <v>48</v>
      </c>
      <c r="B264" t="s">
        <v>49</v>
      </c>
      <c r="C264">
        <v>2014</v>
      </c>
      <c r="D264">
        <v>11</v>
      </c>
      <c r="E264">
        <v>59401</v>
      </c>
      <c r="F264" t="s">
        <v>15</v>
      </c>
    </row>
    <row r="265" spans="1:22" x14ac:dyDescent="0.2">
      <c r="A265" t="s">
        <v>48</v>
      </c>
      <c r="B265" t="s">
        <v>49</v>
      </c>
      <c r="C265">
        <v>2014</v>
      </c>
      <c r="D265">
        <v>12</v>
      </c>
      <c r="E265">
        <v>66040</v>
      </c>
      <c r="F265" t="s">
        <v>44</v>
      </c>
    </row>
    <row r="266" spans="1:22" x14ac:dyDescent="0.2">
      <c r="A266" t="s">
        <v>48</v>
      </c>
      <c r="B266" t="s">
        <v>49</v>
      </c>
      <c r="C266">
        <v>2014</v>
      </c>
      <c r="D266">
        <v>13</v>
      </c>
      <c r="E266">
        <v>55650</v>
      </c>
      <c r="F266" t="s">
        <v>15</v>
      </c>
    </row>
    <row r="267" spans="1:22" x14ac:dyDescent="0.2">
      <c r="A267" t="s">
        <v>48</v>
      </c>
      <c r="B267" t="s">
        <v>49</v>
      </c>
      <c r="C267">
        <v>2014</v>
      </c>
      <c r="D267">
        <v>14</v>
      </c>
      <c r="E267">
        <v>71120</v>
      </c>
      <c r="F267" t="s">
        <v>44</v>
      </c>
    </row>
    <row r="268" spans="1:22" x14ac:dyDescent="0.2">
      <c r="A268" t="s">
        <v>48</v>
      </c>
      <c r="B268" t="s">
        <v>49</v>
      </c>
      <c r="C268">
        <v>2014</v>
      </c>
      <c r="D268">
        <v>15</v>
      </c>
      <c r="E268">
        <v>55880</v>
      </c>
      <c r="F268" t="s">
        <v>15</v>
      </c>
    </row>
    <row r="269" spans="1:22" x14ac:dyDescent="0.2">
      <c r="A269" t="s">
        <v>48</v>
      </c>
      <c r="B269" t="s">
        <v>49</v>
      </c>
      <c r="C269">
        <v>2014</v>
      </c>
      <c r="D269">
        <v>16</v>
      </c>
      <c r="E269">
        <v>55851</v>
      </c>
      <c r="F269" t="s">
        <v>15</v>
      </c>
    </row>
    <row r="270" spans="1:22" x14ac:dyDescent="0.2">
      <c r="A270" t="s">
        <v>48</v>
      </c>
      <c r="B270" t="s">
        <v>49</v>
      </c>
      <c r="C270">
        <v>2014</v>
      </c>
      <c r="D270">
        <v>17</v>
      </c>
      <c r="E270">
        <v>68453</v>
      </c>
      <c r="F270" t="s">
        <v>44</v>
      </c>
    </row>
    <row r="271" spans="1:22" x14ac:dyDescent="0.2">
      <c r="A271" t="s">
        <v>0</v>
      </c>
      <c r="B271" t="s">
        <v>1</v>
      </c>
      <c r="C271" t="s">
        <v>2</v>
      </c>
      <c r="D271" t="s">
        <v>3</v>
      </c>
      <c r="E271" t="s">
        <v>4</v>
      </c>
      <c r="G271">
        <f>AVERAGEIF(F254:F270,"home",E254:E270)</f>
        <v>57018.25</v>
      </c>
      <c r="P271" t="s">
        <v>0</v>
      </c>
      <c r="Q271" t="s">
        <v>1</v>
      </c>
      <c r="R271" t="s">
        <v>2</v>
      </c>
      <c r="S271" t="s">
        <v>6</v>
      </c>
      <c r="T271" t="s">
        <v>7</v>
      </c>
      <c r="U271" t="s">
        <v>8</v>
      </c>
      <c r="V271" t="s">
        <v>9</v>
      </c>
    </row>
    <row r="272" spans="1:22" x14ac:dyDescent="0.2">
      <c r="A272" t="s">
        <v>48</v>
      </c>
      <c r="B272" t="s">
        <v>49</v>
      </c>
      <c r="C272">
        <v>2015</v>
      </c>
      <c r="D272">
        <v>1</v>
      </c>
      <c r="E272">
        <v>51792</v>
      </c>
      <c r="F272" t="s">
        <v>15</v>
      </c>
    </row>
    <row r="273" spans="1:22" x14ac:dyDescent="0.2">
      <c r="A273" t="s">
        <v>48</v>
      </c>
      <c r="B273" t="s">
        <v>49</v>
      </c>
      <c r="C273">
        <v>2015</v>
      </c>
      <c r="D273">
        <v>2</v>
      </c>
      <c r="E273">
        <v>72460</v>
      </c>
      <c r="F273" t="s">
        <v>44</v>
      </c>
    </row>
    <row r="274" spans="1:22" x14ac:dyDescent="0.2">
      <c r="A274" t="s">
        <v>48</v>
      </c>
      <c r="B274" t="s">
        <v>49</v>
      </c>
      <c r="C274">
        <v>2015</v>
      </c>
      <c r="D274">
        <v>3</v>
      </c>
      <c r="E274">
        <v>52433</v>
      </c>
      <c r="F274" t="s">
        <v>15</v>
      </c>
    </row>
    <row r="275" spans="1:22" x14ac:dyDescent="0.2">
      <c r="A275" t="s">
        <v>48</v>
      </c>
      <c r="B275" t="s">
        <v>49</v>
      </c>
      <c r="C275">
        <v>2015</v>
      </c>
      <c r="D275">
        <v>4</v>
      </c>
      <c r="E275">
        <v>63146</v>
      </c>
      <c r="F275" t="s">
        <v>44</v>
      </c>
    </row>
    <row r="276" spans="1:22" x14ac:dyDescent="0.2">
      <c r="A276" t="s">
        <v>48</v>
      </c>
      <c r="B276" t="s">
        <v>49</v>
      </c>
      <c r="C276">
        <v>2015</v>
      </c>
      <c r="D276">
        <v>5</v>
      </c>
      <c r="E276">
        <v>78432</v>
      </c>
      <c r="F276" t="s">
        <v>44</v>
      </c>
    </row>
    <row r="277" spans="1:22" x14ac:dyDescent="0.2">
      <c r="A277" t="s">
        <v>48</v>
      </c>
      <c r="B277" t="s">
        <v>49</v>
      </c>
      <c r="C277">
        <v>2015</v>
      </c>
      <c r="D277">
        <v>6</v>
      </c>
      <c r="E277">
        <v>0</v>
      </c>
      <c r="F277" t="s">
        <v>14</v>
      </c>
    </row>
    <row r="278" spans="1:22" x14ac:dyDescent="0.2">
      <c r="A278" t="s">
        <v>48</v>
      </c>
      <c r="B278" t="s">
        <v>49</v>
      </c>
      <c r="C278">
        <v>2015</v>
      </c>
      <c r="D278">
        <v>7</v>
      </c>
      <c r="E278">
        <v>51523</v>
      </c>
      <c r="F278" t="s">
        <v>15</v>
      </c>
    </row>
    <row r="279" spans="1:22" x14ac:dyDescent="0.2">
      <c r="A279" t="s">
        <v>48</v>
      </c>
      <c r="B279" t="s">
        <v>49</v>
      </c>
      <c r="C279">
        <v>2015</v>
      </c>
      <c r="D279">
        <v>8</v>
      </c>
      <c r="E279">
        <v>51207</v>
      </c>
      <c r="F279" t="s">
        <v>15</v>
      </c>
      <c r="P279" t="s">
        <v>48</v>
      </c>
      <c r="Q279" t="s">
        <v>49</v>
      </c>
      <c r="R279" t="s">
        <v>37</v>
      </c>
      <c r="S279">
        <v>7</v>
      </c>
      <c r="T279">
        <v>9</v>
      </c>
      <c r="U279" t="s">
        <v>17</v>
      </c>
      <c r="V279" t="s">
        <v>18</v>
      </c>
    </row>
    <row r="280" spans="1:22" x14ac:dyDescent="0.2">
      <c r="A280" t="s">
        <v>48</v>
      </c>
      <c r="B280" t="s">
        <v>49</v>
      </c>
      <c r="C280">
        <v>2015</v>
      </c>
      <c r="D280">
        <v>9</v>
      </c>
      <c r="E280">
        <v>52406</v>
      </c>
      <c r="F280" t="s">
        <v>44</v>
      </c>
    </row>
    <row r="281" spans="1:22" x14ac:dyDescent="0.2">
      <c r="A281" t="s">
        <v>48</v>
      </c>
      <c r="B281" t="s">
        <v>49</v>
      </c>
      <c r="C281">
        <v>2015</v>
      </c>
      <c r="D281">
        <v>10</v>
      </c>
      <c r="E281">
        <v>58653</v>
      </c>
      <c r="F281" t="s">
        <v>15</v>
      </c>
    </row>
    <row r="282" spans="1:22" x14ac:dyDescent="0.2">
      <c r="A282" t="s">
        <v>48</v>
      </c>
      <c r="B282" t="s">
        <v>49</v>
      </c>
      <c r="C282">
        <v>2015</v>
      </c>
      <c r="D282">
        <v>11</v>
      </c>
      <c r="E282">
        <v>71105</v>
      </c>
      <c r="F282" t="s">
        <v>44</v>
      </c>
    </row>
    <row r="283" spans="1:22" x14ac:dyDescent="0.2">
      <c r="A283" t="s">
        <v>48</v>
      </c>
      <c r="B283" t="s">
        <v>49</v>
      </c>
      <c r="C283">
        <v>2015</v>
      </c>
      <c r="D283">
        <v>12</v>
      </c>
      <c r="E283">
        <v>61022</v>
      </c>
      <c r="F283" t="s">
        <v>44</v>
      </c>
    </row>
    <row r="284" spans="1:22" x14ac:dyDescent="0.2">
      <c r="A284" t="s">
        <v>48</v>
      </c>
      <c r="B284" t="s">
        <v>49</v>
      </c>
      <c r="C284">
        <v>2015</v>
      </c>
      <c r="D284">
        <v>13</v>
      </c>
      <c r="E284">
        <v>51115</v>
      </c>
      <c r="F284" t="s">
        <v>15</v>
      </c>
    </row>
    <row r="285" spans="1:22" x14ac:dyDescent="0.2">
      <c r="A285" t="s">
        <v>48</v>
      </c>
      <c r="B285" t="s">
        <v>49</v>
      </c>
      <c r="C285">
        <v>2015</v>
      </c>
      <c r="D285">
        <v>14</v>
      </c>
      <c r="E285">
        <v>51202</v>
      </c>
      <c r="F285" t="s">
        <v>15</v>
      </c>
    </row>
    <row r="286" spans="1:22" x14ac:dyDescent="0.2">
      <c r="A286" t="s">
        <v>48</v>
      </c>
      <c r="B286" t="s">
        <v>49</v>
      </c>
      <c r="C286">
        <v>2015</v>
      </c>
      <c r="D286">
        <v>15</v>
      </c>
      <c r="E286">
        <v>51295</v>
      </c>
      <c r="F286" t="s">
        <v>15</v>
      </c>
    </row>
    <row r="287" spans="1:22" x14ac:dyDescent="0.2">
      <c r="A287" t="s">
        <v>48</v>
      </c>
      <c r="B287" t="s">
        <v>49</v>
      </c>
      <c r="C287">
        <v>2015</v>
      </c>
      <c r="D287">
        <v>16</v>
      </c>
      <c r="E287">
        <v>69080</v>
      </c>
      <c r="F287" t="s">
        <v>44</v>
      </c>
    </row>
    <row r="288" spans="1:22" x14ac:dyDescent="0.2">
      <c r="A288" t="s">
        <v>48</v>
      </c>
      <c r="B288" t="s">
        <v>49</v>
      </c>
      <c r="C288">
        <v>2015</v>
      </c>
      <c r="D288">
        <v>17</v>
      </c>
      <c r="E288">
        <v>70799</v>
      </c>
      <c r="F288" t="s">
        <v>44</v>
      </c>
    </row>
    <row r="289" spans="1:22" x14ac:dyDescent="0.2">
      <c r="A289" t="s">
        <v>0</v>
      </c>
      <c r="B289" t="s">
        <v>1</v>
      </c>
      <c r="C289" t="s">
        <v>2</v>
      </c>
      <c r="D289" t="s">
        <v>3</v>
      </c>
      <c r="E289" t="s">
        <v>4</v>
      </c>
      <c r="G289">
        <f>AVERAGEIF(F272:F288,"home",E272:E288)</f>
        <v>52402.5</v>
      </c>
      <c r="P289" t="s">
        <v>0</v>
      </c>
      <c r="Q289" t="s">
        <v>1</v>
      </c>
      <c r="R289" t="s">
        <v>2</v>
      </c>
      <c r="S289" t="s">
        <v>6</v>
      </c>
      <c r="T289" t="s">
        <v>7</v>
      </c>
      <c r="U289" t="s">
        <v>8</v>
      </c>
      <c r="V289" t="s">
        <v>9</v>
      </c>
    </row>
    <row r="290" spans="1:22" x14ac:dyDescent="0.2">
      <c r="A290" t="s">
        <v>50</v>
      </c>
      <c r="B290" t="s">
        <v>49</v>
      </c>
      <c r="C290">
        <v>2016</v>
      </c>
      <c r="D290">
        <v>1</v>
      </c>
      <c r="E290">
        <v>70178</v>
      </c>
      <c r="F290" t="s">
        <v>44</v>
      </c>
      <c r="J290" s="1" t="s">
        <v>51</v>
      </c>
      <c r="K290" s="1" t="s">
        <v>52</v>
      </c>
    </row>
    <row r="291" spans="1:22" x14ac:dyDescent="0.2">
      <c r="A291" t="s">
        <v>50</v>
      </c>
      <c r="B291" t="s">
        <v>49</v>
      </c>
      <c r="C291">
        <v>2016</v>
      </c>
      <c r="D291">
        <v>2</v>
      </c>
      <c r="E291">
        <v>91046</v>
      </c>
      <c r="F291" t="s">
        <v>15</v>
      </c>
    </row>
    <row r="292" spans="1:22" x14ac:dyDescent="0.2">
      <c r="A292" t="s">
        <v>50</v>
      </c>
      <c r="B292" t="s">
        <v>49</v>
      </c>
      <c r="C292">
        <v>2016</v>
      </c>
      <c r="D292">
        <v>3</v>
      </c>
      <c r="E292">
        <v>55009</v>
      </c>
      <c r="F292" t="s">
        <v>44</v>
      </c>
    </row>
    <row r="293" spans="1:22" x14ac:dyDescent="0.2">
      <c r="A293" t="s">
        <v>50</v>
      </c>
      <c r="B293" t="s">
        <v>49</v>
      </c>
      <c r="C293">
        <v>2016</v>
      </c>
      <c r="D293">
        <v>4</v>
      </c>
      <c r="E293">
        <v>64622</v>
      </c>
      <c r="F293" t="s">
        <v>44</v>
      </c>
    </row>
    <row r="294" spans="1:22" x14ac:dyDescent="0.2">
      <c r="A294" t="s">
        <v>50</v>
      </c>
      <c r="B294" t="s">
        <v>49</v>
      </c>
      <c r="C294">
        <v>2016</v>
      </c>
      <c r="D294">
        <v>5</v>
      </c>
      <c r="E294">
        <v>83679</v>
      </c>
      <c r="F294" t="s">
        <v>15</v>
      </c>
    </row>
    <row r="295" spans="1:22" x14ac:dyDescent="0.2">
      <c r="A295" t="s">
        <v>50</v>
      </c>
      <c r="B295" t="s">
        <v>49</v>
      </c>
      <c r="C295">
        <v>2016</v>
      </c>
      <c r="D295">
        <v>6</v>
      </c>
      <c r="E295">
        <v>56018</v>
      </c>
      <c r="F295" t="s">
        <v>44</v>
      </c>
    </row>
    <row r="296" spans="1:22" x14ac:dyDescent="0.2">
      <c r="A296" t="s">
        <v>50</v>
      </c>
      <c r="B296" t="s">
        <v>49</v>
      </c>
      <c r="C296">
        <v>2016</v>
      </c>
      <c r="D296">
        <v>7</v>
      </c>
      <c r="E296">
        <v>74121</v>
      </c>
      <c r="F296" t="s">
        <v>15</v>
      </c>
    </row>
    <row r="297" spans="1:22" x14ac:dyDescent="0.2">
      <c r="A297" t="s">
        <v>50</v>
      </c>
      <c r="B297" t="s">
        <v>49</v>
      </c>
      <c r="C297">
        <v>2016</v>
      </c>
      <c r="D297">
        <v>8</v>
      </c>
      <c r="E297">
        <v>0</v>
      </c>
      <c r="F297" t="s">
        <v>14</v>
      </c>
      <c r="P297" t="s">
        <v>50</v>
      </c>
      <c r="Q297" t="s">
        <v>49</v>
      </c>
      <c r="R297" t="s">
        <v>38</v>
      </c>
      <c r="S297">
        <v>4</v>
      </c>
      <c r="T297">
        <v>12</v>
      </c>
      <c r="U297" t="s">
        <v>17</v>
      </c>
      <c r="V297" t="s">
        <v>18</v>
      </c>
    </row>
    <row r="298" spans="1:22" x14ac:dyDescent="0.2">
      <c r="A298" t="s">
        <v>50</v>
      </c>
      <c r="B298" t="s">
        <v>49</v>
      </c>
      <c r="C298">
        <v>2016</v>
      </c>
      <c r="D298">
        <v>9</v>
      </c>
      <c r="E298">
        <v>86109</v>
      </c>
      <c r="F298" t="s">
        <v>15</v>
      </c>
    </row>
    <row r="299" spans="1:22" x14ac:dyDescent="0.2">
      <c r="A299" t="s">
        <v>50</v>
      </c>
      <c r="B299" t="s">
        <v>49</v>
      </c>
      <c r="C299">
        <v>2016</v>
      </c>
      <c r="D299">
        <v>10</v>
      </c>
      <c r="E299">
        <v>78160</v>
      </c>
      <c r="F299" t="s">
        <v>44</v>
      </c>
    </row>
    <row r="300" spans="1:22" x14ac:dyDescent="0.2">
      <c r="A300" t="s">
        <v>50</v>
      </c>
      <c r="B300" t="s">
        <v>49</v>
      </c>
      <c r="C300">
        <v>2016</v>
      </c>
      <c r="D300">
        <v>11</v>
      </c>
      <c r="E300">
        <v>83483</v>
      </c>
      <c r="F300" t="s">
        <v>15</v>
      </c>
    </row>
    <row r="301" spans="1:22" x14ac:dyDescent="0.2">
      <c r="A301" t="s">
        <v>50</v>
      </c>
      <c r="B301" t="s">
        <v>49</v>
      </c>
      <c r="C301">
        <v>2016</v>
      </c>
      <c r="D301">
        <v>12</v>
      </c>
      <c r="E301">
        <v>73067</v>
      </c>
      <c r="F301" t="s">
        <v>44</v>
      </c>
    </row>
    <row r="302" spans="1:22" x14ac:dyDescent="0.2">
      <c r="A302" t="s">
        <v>50</v>
      </c>
      <c r="B302" t="s">
        <v>49</v>
      </c>
      <c r="C302">
        <v>2016</v>
      </c>
      <c r="D302">
        <v>13</v>
      </c>
      <c r="E302">
        <v>66829</v>
      </c>
      <c r="F302" t="s">
        <v>44</v>
      </c>
    </row>
    <row r="303" spans="1:22" x14ac:dyDescent="0.2">
      <c r="A303" t="s">
        <v>50</v>
      </c>
      <c r="B303" t="s">
        <v>49</v>
      </c>
      <c r="C303">
        <v>2016</v>
      </c>
      <c r="D303">
        <v>14</v>
      </c>
      <c r="E303">
        <v>82495</v>
      </c>
      <c r="F303" t="s">
        <v>15</v>
      </c>
    </row>
    <row r="304" spans="1:22" x14ac:dyDescent="0.2">
      <c r="A304" t="s">
        <v>50</v>
      </c>
      <c r="B304" t="s">
        <v>49</v>
      </c>
      <c r="C304">
        <v>2016</v>
      </c>
      <c r="D304">
        <v>15</v>
      </c>
      <c r="E304">
        <v>69067</v>
      </c>
      <c r="F304" t="s">
        <v>44</v>
      </c>
    </row>
    <row r="305" spans="1:22" x14ac:dyDescent="0.2">
      <c r="A305" t="s">
        <v>50</v>
      </c>
      <c r="B305" t="s">
        <v>49</v>
      </c>
      <c r="C305">
        <v>2016</v>
      </c>
      <c r="D305">
        <v>16</v>
      </c>
      <c r="E305">
        <v>83656</v>
      </c>
      <c r="F305" t="s">
        <v>15</v>
      </c>
    </row>
    <row r="306" spans="1:22" x14ac:dyDescent="0.2">
      <c r="A306" t="s">
        <v>50</v>
      </c>
      <c r="B306" t="s">
        <v>49</v>
      </c>
      <c r="C306">
        <v>2016</v>
      </c>
      <c r="D306">
        <v>17</v>
      </c>
      <c r="E306">
        <v>80729</v>
      </c>
      <c r="F306" t="s">
        <v>15</v>
      </c>
    </row>
    <row r="307" spans="1:22" x14ac:dyDescent="0.2">
      <c r="A307" t="s">
        <v>0</v>
      </c>
      <c r="B307" t="s">
        <v>1</v>
      </c>
      <c r="C307" t="s">
        <v>2</v>
      </c>
      <c r="D307" t="s">
        <v>3</v>
      </c>
      <c r="E307" t="s">
        <v>4</v>
      </c>
      <c r="G307">
        <f>AVERAGEIF(F290:F306,"home",E290:E306)</f>
        <v>83164.75</v>
      </c>
      <c r="P307" t="s">
        <v>0</v>
      </c>
      <c r="Q307" t="s">
        <v>1</v>
      </c>
      <c r="R307" t="s">
        <v>2</v>
      </c>
      <c r="S307" t="s">
        <v>6</v>
      </c>
      <c r="T307" t="s">
        <v>7</v>
      </c>
      <c r="U307" t="s">
        <v>8</v>
      </c>
      <c r="V307" t="s">
        <v>9</v>
      </c>
    </row>
    <row r="308" spans="1:22" x14ac:dyDescent="0.2">
      <c r="A308" t="s">
        <v>50</v>
      </c>
      <c r="B308" t="s">
        <v>49</v>
      </c>
      <c r="C308">
        <v>2017</v>
      </c>
      <c r="D308">
        <v>1</v>
      </c>
      <c r="E308">
        <v>60128</v>
      </c>
      <c r="F308" t="s">
        <v>15</v>
      </c>
    </row>
    <row r="309" spans="1:22" x14ac:dyDescent="0.2">
      <c r="A309" t="s">
        <v>50</v>
      </c>
      <c r="B309" t="s">
        <v>49</v>
      </c>
      <c r="C309">
        <v>2017</v>
      </c>
      <c r="D309">
        <v>2</v>
      </c>
      <c r="E309">
        <v>56612</v>
      </c>
      <c r="F309" t="s">
        <v>15</v>
      </c>
    </row>
    <row r="310" spans="1:22" x14ac:dyDescent="0.2">
      <c r="A310" t="s">
        <v>50</v>
      </c>
      <c r="B310" t="s">
        <v>49</v>
      </c>
      <c r="C310">
        <v>2017</v>
      </c>
      <c r="D310">
        <v>3</v>
      </c>
      <c r="E310">
        <v>70178</v>
      </c>
      <c r="F310" t="s">
        <v>44</v>
      </c>
    </row>
    <row r="311" spans="1:22" x14ac:dyDescent="0.2">
      <c r="A311" t="s">
        <v>50</v>
      </c>
      <c r="B311" t="s">
        <v>49</v>
      </c>
      <c r="C311">
        <v>2017</v>
      </c>
      <c r="D311">
        <v>4</v>
      </c>
      <c r="E311">
        <v>91869</v>
      </c>
      <c r="F311" t="s">
        <v>44</v>
      </c>
    </row>
    <row r="312" spans="1:22" x14ac:dyDescent="0.2">
      <c r="A312" t="s">
        <v>50</v>
      </c>
      <c r="B312" t="s">
        <v>49</v>
      </c>
      <c r="C312">
        <v>2017</v>
      </c>
      <c r="D312">
        <v>5</v>
      </c>
      <c r="E312">
        <v>60745</v>
      </c>
      <c r="F312" t="s">
        <v>15</v>
      </c>
    </row>
    <row r="313" spans="1:22" x14ac:dyDescent="0.2">
      <c r="A313" t="s">
        <v>50</v>
      </c>
      <c r="B313" t="s">
        <v>49</v>
      </c>
      <c r="C313">
        <v>2017</v>
      </c>
      <c r="D313">
        <v>6</v>
      </c>
      <c r="E313">
        <v>56232</v>
      </c>
      <c r="F313" t="s">
        <v>44</v>
      </c>
    </row>
    <row r="314" spans="1:22" x14ac:dyDescent="0.2">
      <c r="A314" t="s">
        <v>50</v>
      </c>
      <c r="B314" t="s">
        <v>49</v>
      </c>
      <c r="C314">
        <v>2017</v>
      </c>
      <c r="D314">
        <v>7</v>
      </c>
      <c r="E314">
        <v>73736</v>
      </c>
      <c r="F314" t="s">
        <v>15</v>
      </c>
    </row>
    <row r="315" spans="1:22" x14ac:dyDescent="0.2">
      <c r="A315" t="s">
        <v>50</v>
      </c>
      <c r="B315" t="s">
        <v>49</v>
      </c>
      <c r="C315">
        <v>2017</v>
      </c>
      <c r="D315">
        <v>8</v>
      </c>
      <c r="E315">
        <v>0</v>
      </c>
      <c r="F315" t="s">
        <v>14</v>
      </c>
      <c r="P315" t="s">
        <v>50</v>
      </c>
      <c r="Q315" t="s">
        <v>49</v>
      </c>
      <c r="R315" t="s">
        <v>39</v>
      </c>
      <c r="S315">
        <v>11</v>
      </c>
      <c r="T315">
        <v>5</v>
      </c>
      <c r="U315" t="s">
        <v>29</v>
      </c>
      <c r="V315" t="s">
        <v>18</v>
      </c>
    </row>
    <row r="316" spans="1:22" x14ac:dyDescent="0.2">
      <c r="A316" t="s">
        <v>50</v>
      </c>
      <c r="B316" t="s">
        <v>49</v>
      </c>
      <c r="C316">
        <v>2017</v>
      </c>
      <c r="D316">
        <v>9</v>
      </c>
      <c r="E316">
        <v>76877</v>
      </c>
      <c r="F316" t="s">
        <v>44</v>
      </c>
    </row>
    <row r="317" spans="1:22" x14ac:dyDescent="0.2">
      <c r="A317" t="s">
        <v>50</v>
      </c>
      <c r="B317" t="s">
        <v>49</v>
      </c>
      <c r="C317">
        <v>2017</v>
      </c>
      <c r="D317">
        <v>10</v>
      </c>
      <c r="E317">
        <v>60032</v>
      </c>
      <c r="F317" t="s">
        <v>15</v>
      </c>
    </row>
    <row r="318" spans="1:22" x14ac:dyDescent="0.2">
      <c r="A318" t="s">
        <v>50</v>
      </c>
      <c r="B318" t="s">
        <v>49</v>
      </c>
      <c r="C318">
        <v>2017</v>
      </c>
      <c r="D318">
        <v>11</v>
      </c>
      <c r="E318">
        <v>66809</v>
      </c>
      <c r="F318" t="s">
        <v>44</v>
      </c>
    </row>
    <row r="319" spans="1:22" x14ac:dyDescent="0.2">
      <c r="A319" t="s">
        <v>50</v>
      </c>
      <c r="B319" t="s">
        <v>49</v>
      </c>
      <c r="C319">
        <v>2017</v>
      </c>
      <c r="D319">
        <v>12</v>
      </c>
      <c r="E319">
        <v>62006</v>
      </c>
      <c r="F319" t="s">
        <v>15</v>
      </c>
    </row>
    <row r="320" spans="1:22" x14ac:dyDescent="0.2">
      <c r="A320" t="s">
        <v>50</v>
      </c>
      <c r="B320" t="s">
        <v>49</v>
      </c>
      <c r="C320">
        <v>2017</v>
      </c>
      <c r="D320">
        <v>13</v>
      </c>
      <c r="E320">
        <v>63986</v>
      </c>
      <c r="F320" t="s">
        <v>44</v>
      </c>
    </row>
    <row r="321" spans="1:22" x14ac:dyDescent="0.2">
      <c r="A321" t="s">
        <v>50</v>
      </c>
      <c r="B321" t="s">
        <v>49</v>
      </c>
      <c r="C321">
        <v>2017</v>
      </c>
      <c r="D321">
        <v>14</v>
      </c>
      <c r="E321">
        <v>67752</v>
      </c>
      <c r="F321" t="s">
        <v>15</v>
      </c>
    </row>
    <row r="322" spans="1:22" x14ac:dyDescent="0.2">
      <c r="A322" t="s">
        <v>50</v>
      </c>
      <c r="B322" t="s">
        <v>49</v>
      </c>
      <c r="C322">
        <v>2017</v>
      </c>
      <c r="D322">
        <v>15</v>
      </c>
      <c r="E322">
        <v>69077</v>
      </c>
      <c r="F322" t="s">
        <v>44</v>
      </c>
    </row>
    <row r="323" spans="1:22" x14ac:dyDescent="0.2">
      <c r="A323" t="s">
        <v>50</v>
      </c>
      <c r="B323" t="s">
        <v>49</v>
      </c>
      <c r="C323">
        <v>2017</v>
      </c>
      <c r="D323">
        <v>16</v>
      </c>
      <c r="E323">
        <v>60097</v>
      </c>
      <c r="F323" t="s">
        <v>44</v>
      </c>
    </row>
    <row r="324" spans="1:22" x14ac:dyDescent="0.2">
      <c r="A324" t="s">
        <v>50</v>
      </c>
      <c r="B324" t="s">
        <v>49</v>
      </c>
      <c r="C324">
        <v>2017</v>
      </c>
      <c r="D324">
        <v>17</v>
      </c>
      <c r="E324">
        <v>66125</v>
      </c>
      <c r="F324" t="s">
        <v>15</v>
      </c>
      <c r="G324">
        <f>AVERAGEIF(F308:F324,"home",E308:E324)</f>
        <v>63392</v>
      </c>
    </row>
    <row r="325" spans="1:22" x14ac:dyDescent="0.2">
      <c r="A325" t="s">
        <v>0</v>
      </c>
      <c r="B325" t="s">
        <v>1</v>
      </c>
      <c r="C325" t="s">
        <v>2</v>
      </c>
      <c r="D325" t="s">
        <v>3</v>
      </c>
      <c r="E325" t="s">
        <v>4</v>
      </c>
      <c r="P325" t="s">
        <v>0</v>
      </c>
      <c r="Q325" t="s">
        <v>1</v>
      </c>
      <c r="R325" t="s">
        <v>2</v>
      </c>
      <c r="S325" t="s">
        <v>6</v>
      </c>
      <c r="T325" t="s">
        <v>7</v>
      </c>
      <c r="U325" t="s">
        <v>8</v>
      </c>
      <c r="V325" t="s">
        <v>9</v>
      </c>
    </row>
    <row r="326" spans="1:22" x14ac:dyDescent="0.2">
      <c r="A326" t="s">
        <v>50</v>
      </c>
      <c r="B326" t="s">
        <v>49</v>
      </c>
      <c r="C326">
        <v>2018</v>
      </c>
      <c r="D326">
        <v>1</v>
      </c>
      <c r="E326">
        <v>53857</v>
      </c>
      <c r="F326" t="s">
        <v>44</v>
      </c>
    </row>
    <row r="327" spans="1:22" x14ac:dyDescent="0.2">
      <c r="A327" t="s">
        <v>50</v>
      </c>
      <c r="B327" t="s">
        <v>49</v>
      </c>
      <c r="C327">
        <v>2018</v>
      </c>
      <c r="D327">
        <v>2</v>
      </c>
      <c r="E327">
        <v>66515</v>
      </c>
      <c r="F327" t="s">
        <v>15</v>
      </c>
    </row>
    <row r="328" spans="1:22" x14ac:dyDescent="0.2">
      <c r="A328" t="s">
        <v>50</v>
      </c>
      <c r="B328" t="s">
        <v>49</v>
      </c>
      <c r="C328">
        <v>2018</v>
      </c>
      <c r="D328">
        <v>3</v>
      </c>
      <c r="E328">
        <v>68947</v>
      </c>
      <c r="F328" t="s">
        <v>15</v>
      </c>
    </row>
    <row r="329" spans="1:22" x14ac:dyDescent="0.2">
      <c r="A329" t="s">
        <v>50</v>
      </c>
      <c r="B329" t="s">
        <v>49</v>
      </c>
      <c r="C329">
        <v>2018</v>
      </c>
      <c r="D329">
        <v>4</v>
      </c>
      <c r="E329">
        <v>72027</v>
      </c>
      <c r="F329" t="s">
        <v>15</v>
      </c>
    </row>
    <row r="330" spans="1:22" x14ac:dyDescent="0.2">
      <c r="A330" t="s">
        <v>50</v>
      </c>
      <c r="B330" t="s">
        <v>49</v>
      </c>
      <c r="C330">
        <v>2018</v>
      </c>
      <c r="D330">
        <v>5</v>
      </c>
      <c r="E330">
        <v>68893</v>
      </c>
      <c r="F330" t="s">
        <v>44</v>
      </c>
    </row>
    <row r="331" spans="1:22" x14ac:dyDescent="0.2">
      <c r="A331" t="s">
        <v>50</v>
      </c>
      <c r="B331" t="s">
        <v>49</v>
      </c>
      <c r="C331">
        <v>2018</v>
      </c>
      <c r="D331">
        <v>6</v>
      </c>
      <c r="E331">
        <v>76109</v>
      </c>
      <c r="F331" t="s">
        <v>44</v>
      </c>
    </row>
    <row r="332" spans="1:22" x14ac:dyDescent="0.2">
      <c r="A332" t="s">
        <v>50</v>
      </c>
      <c r="B332" t="s">
        <v>49</v>
      </c>
      <c r="C332">
        <v>2018</v>
      </c>
      <c r="D332">
        <v>7</v>
      </c>
      <c r="E332">
        <v>66597</v>
      </c>
      <c r="F332" t="s">
        <v>44</v>
      </c>
    </row>
    <row r="333" spans="1:22" x14ac:dyDescent="0.2">
      <c r="A333" t="s">
        <v>50</v>
      </c>
      <c r="B333" t="s">
        <v>49</v>
      </c>
      <c r="C333">
        <v>2018</v>
      </c>
      <c r="D333">
        <v>8</v>
      </c>
      <c r="E333">
        <v>75822</v>
      </c>
      <c r="F333" t="s">
        <v>15</v>
      </c>
      <c r="P333" t="s">
        <v>50</v>
      </c>
      <c r="Q333" t="s">
        <v>49</v>
      </c>
      <c r="R333" t="s">
        <v>40</v>
      </c>
      <c r="S333">
        <v>13</v>
      </c>
      <c r="T333">
        <v>3</v>
      </c>
      <c r="U333" t="s">
        <v>29</v>
      </c>
      <c r="V333" t="s">
        <v>30</v>
      </c>
    </row>
    <row r="334" spans="1:22" x14ac:dyDescent="0.2">
      <c r="A334" t="s">
        <v>50</v>
      </c>
      <c r="B334" t="s">
        <v>49</v>
      </c>
      <c r="C334">
        <v>2018</v>
      </c>
      <c r="D334">
        <v>9</v>
      </c>
      <c r="E334">
        <v>73086</v>
      </c>
      <c r="F334" t="s">
        <v>44</v>
      </c>
    </row>
    <row r="335" spans="1:22" x14ac:dyDescent="0.2">
      <c r="A335" t="s">
        <v>50</v>
      </c>
      <c r="B335" t="s">
        <v>49</v>
      </c>
      <c r="C335">
        <v>2018</v>
      </c>
      <c r="D335">
        <v>10</v>
      </c>
      <c r="E335">
        <v>72755</v>
      </c>
      <c r="F335" t="s">
        <v>15</v>
      </c>
    </row>
    <row r="336" spans="1:22" x14ac:dyDescent="0.2">
      <c r="A336" t="s">
        <v>50</v>
      </c>
      <c r="B336" t="s">
        <v>49</v>
      </c>
      <c r="C336">
        <v>2018</v>
      </c>
      <c r="D336">
        <v>11</v>
      </c>
      <c r="E336">
        <v>77002</v>
      </c>
      <c r="F336" t="s">
        <v>15</v>
      </c>
    </row>
    <row r="337" spans="1:22" x14ac:dyDescent="0.2">
      <c r="A337" t="s">
        <v>50</v>
      </c>
      <c r="B337" t="s">
        <v>49</v>
      </c>
      <c r="C337">
        <v>2018</v>
      </c>
      <c r="D337">
        <v>12</v>
      </c>
      <c r="E337">
        <v>0</v>
      </c>
      <c r="F337" t="s">
        <v>14</v>
      </c>
    </row>
    <row r="338" spans="1:22" x14ac:dyDescent="0.2">
      <c r="A338" t="s">
        <v>50</v>
      </c>
      <c r="B338" t="s">
        <v>49</v>
      </c>
      <c r="C338">
        <v>2018</v>
      </c>
      <c r="D338">
        <v>13</v>
      </c>
      <c r="E338">
        <v>60974</v>
      </c>
      <c r="F338" t="s">
        <v>44</v>
      </c>
    </row>
    <row r="339" spans="1:22" x14ac:dyDescent="0.2">
      <c r="A339" t="s">
        <v>50</v>
      </c>
      <c r="B339" t="s">
        <v>49</v>
      </c>
      <c r="C339">
        <v>2018</v>
      </c>
      <c r="D339">
        <v>14</v>
      </c>
      <c r="E339">
        <v>61695</v>
      </c>
      <c r="F339" t="s">
        <v>44</v>
      </c>
    </row>
    <row r="340" spans="1:22" x14ac:dyDescent="0.2">
      <c r="A340" t="s">
        <v>50</v>
      </c>
      <c r="B340" t="s">
        <v>49</v>
      </c>
      <c r="C340">
        <v>2018</v>
      </c>
      <c r="D340">
        <v>15</v>
      </c>
      <c r="E340">
        <v>74210</v>
      </c>
      <c r="F340" t="s">
        <v>15</v>
      </c>
    </row>
    <row r="341" spans="1:22" x14ac:dyDescent="0.2">
      <c r="A341" t="s">
        <v>50</v>
      </c>
      <c r="B341" t="s">
        <v>49</v>
      </c>
      <c r="C341">
        <v>2018</v>
      </c>
      <c r="D341">
        <v>16</v>
      </c>
      <c r="E341">
        <v>61759</v>
      </c>
      <c r="F341" t="s">
        <v>44</v>
      </c>
    </row>
    <row r="342" spans="1:22" x14ac:dyDescent="0.2">
      <c r="A342" t="s">
        <v>50</v>
      </c>
      <c r="B342" t="s">
        <v>49</v>
      </c>
      <c r="C342">
        <v>2018</v>
      </c>
      <c r="D342">
        <v>17</v>
      </c>
      <c r="E342">
        <v>72161</v>
      </c>
      <c r="F342" t="s">
        <v>15</v>
      </c>
    </row>
    <row r="343" spans="1:22" x14ac:dyDescent="0.2">
      <c r="A343" t="s">
        <v>0</v>
      </c>
      <c r="B343" t="s">
        <v>1</v>
      </c>
      <c r="C343" t="s">
        <v>2</v>
      </c>
      <c r="D343" t="s">
        <v>3</v>
      </c>
      <c r="E343" t="s">
        <v>4</v>
      </c>
      <c r="G343">
        <f>AVERAGEIF(F326:F342,"home",E326:E342)</f>
        <v>72429.875</v>
      </c>
      <c r="P343" t="s">
        <v>0</v>
      </c>
      <c r="Q343" t="s">
        <v>1</v>
      </c>
      <c r="R343" t="s">
        <v>2</v>
      </c>
      <c r="S343" t="s">
        <v>6</v>
      </c>
      <c r="T343" t="s">
        <v>7</v>
      </c>
      <c r="U343" t="s">
        <v>8</v>
      </c>
      <c r="V343" t="s">
        <v>9</v>
      </c>
    </row>
    <row r="344" spans="1:22" x14ac:dyDescent="0.2">
      <c r="A344" t="s">
        <v>50</v>
      </c>
      <c r="B344" t="s">
        <v>49</v>
      </c>
      <c r="C344">
        <v>2019</v>
      </c>
      <c r="D344">
        <v>1</v>
      </c>
      <c r="E344">
        <v>72005</v>
      </c>
      <c r="F344" t="s">
        <v>44</v>
      </c>
    </row>
    <row r="345" spans="1:22" x14ac:dyDescent="0.2">
      <c r="A345" t="s">
        <v>50</v>
      </c>
      <c r="B345" t="s">
        <v>49</v>
      </c>
      <c r="C345">
        <v>2019</v>
      </c>
      <c r="D345">
        <v>2</v>
      </c>
      <c r="E345">
        <v>71460</v>
      </c>
      <c r="F345" t="s">
        <v>15</v>
      </c>
    </row>
    <row r="346" spans="1:22" x14ac:dyDescent="0.2">
      <c r="A346" t="s">
        <v>50</v>
      </c>
      <c r="B346" t="s">
        <v>49</v>
      </c>
      <c r="C346">
        <v>2019</v>
      </c>
      <c r="D346">
        <v>3</v>
      </c>
      <c r="E346">
        <v>67431</v>
      </c>
      <c r="F346" t="s">
        <v>44</v>
      </c>
    </row>
    <row r="347" spans="1:22" x14ac:dyDescent="0.2">
      <c r="A347" t="s">
        <v>50</v>
      </c>
      <c r="B347" t="s">
        <v>49</v>
      </c>
      <c r="C347">
        <v>2019</v>
      </c>
      <c r="D347">
        <v>4</v>
      </c>
      <c r="E347">
        <v>68117</v>
      </c>
      <c r="F347" t="s">
        <v>15</v>
      </c>
    </row>
    <row r="348" spans="1:22" x14ac:dyDescent="0.2">
      <c r="A348" t="s">
        <v>50</v>
      </c>
      <c r="B348" t="s">
        <v>49</v>
      </c>
      <c r="C348">
        <v>2019</v>
      </c>
      <c r="D348">
        <v>5</v>
      </c>
      <c r="E348">
        <v>68988</v>
      </c>
      <c r="F348" t="s">
        <v>44</v>
      </c>
    </row>
    <row r="349" spans="1:22" x14ac:dyDescent="0.2">
      <c r="A349" t="s">
        <v>50</v>
      </c>
      <c r="B349" t="s">
        <v>49</v>
      </c>
      <c r="C349">
        <v>2019</v>
      </c>
      <c r="D349">
        <v>6</v>
      </c>
      <c r="E349">
        <v>75695</v>
      </c>
      <c r="F349" t="s">
        <v>15</v>
      </c>
    </row>
    <row r="350" spans="1:22" x14ac:dyDescent="0.2">
      <c r="A350" t="s">
        <v>50</v>
      </c>
      <c r="B350" t="s">
        <v>49</v>
      </c>
      <c r="C350">
        <v>2019</v>
      </c>
      <c r="D350">
        <v>7</v>
      </c>
      <c r="E350">
        <v>71856</v>
      </c>
      <c r="F350" t="s">
        <v>44</v>
      </c>
    </row>
    <row r="351" spans="1:22" x14ac:dyDescent="0.2">
      <c r="A351" t="s">
        <v>50</v>
      </c>
      <c r="B351" t="s">
        <v>49</v>
      </c>
      <c r="C351">
        <v>2019</v>
      </c>
      <c r="D351">
        <v>8</v>
      </c>
      <c r="E351">
        <v>83720</v>
      </c>
      <c r="F351" t="s">
        <v>15</v>
      </c>
      <c r="P351" t="s">
        <v>50</v>
      </c>
      <c r="Q351" t="s">
        <v>49</v>
      </c>
      <c r="R351" t="s">
        <v>41</v>
      </c>
      <c r="S351">
        <v>9</v>
      </c>
      <c r="T351">
        <v>7</v>
      </c>
      <c r="U351" t="s">
        <v>17</v>
      </c>
      <c r="V351" t="s">
        <v>18</v>
      </c>
    </row>
    <row r="352" spans="1:22" x14ac:dyDescent="0.2">
      <c r="A352" t="s">
        <v>50</v>
      </c>
      <c r="B352" t="s">
        <v>49</v>
      </c>
      <c r="C352">
        <v>2019</v>
      </c>
      <c r="D352">
        <v>9</v>
      </c>
      <c r="E352">
        <v>0</v>
      </c>
      <c r="F352" t="s">
        <v>14</v>
      </c>
    </row>
    <row r="353" spans="1:7" x14ac:dyDescent="0.2">
      <c r="A353" t="s">
        <v>50</v>
      </c>
      <c r="B353" t="s">
        <v>49</v>
      </c>
      <c r="C353">
        <v>2019</v>
      </c>
      <c r="D353">
        <v>10</v>
      </c>
      <c r="E353">
        <v>63627</v>
      </c>
      <c r="F353" t="s">
        <v>44</v>
      </c>
    </row>
    <row r="354" spans="1:7" x14ac:dyDescent="0.2">
      <c r="A354" t="s">
        <v>50</v>
      </c>
      <c r="B354" t="s">
        <v>49</v>
      </c>
      <c r="C354">
        <v>2019</v>
      </c>
      <c r="D354">
        <v>11</v>
      </c>
      <c r="E354">
        <v>70758</v>
      </c>
      <c r="F354" t="s">
        <v>15</v>
      </c>
    </row>
    <row r="355" spans="1:7" x14ac:dyDescent="0.2">
      <c r="A355" t="s">
        <v>50</v>
      </c>
      <c r="B355" t="s">
        <v>49</v>
      </c>
      <c r="C355">
        <v>2019</v>
      </c>
      <c r="D355">
        <v>12</v>
      </c>
      <c r="E355">
        <v>72409</v>
      </c>
      <c r="F355" t="s">
        <v>15</v>
      </c>
    </row>
    <row r="356" spans="1:7" x14ac:dyDescent="0.2">
      <c r="A356" t="s">
        <v>50</v>
      </c>
      <c r="B356" t="s">
        <v>49</v>
      </c>
      <c r="C356">
        <v>2019</v>
      </c>
      <c r="D356">
        <v>13</v>
      </c>
      <c r="E356">
        <v>60944</v>
      </c>
      <c r="F356" t="s">
        <v>44</v>
      </c>
    </row>
    <row r="357" spans="1:7" x14ac:dyDescent="0.2">
      <c r="A357" t="s">
        <v>50</v>
      </c>
      <c r="B357" t="s">
        <v>49</v>
      </c>
      <c r="C357">
        <v>2019</v>
      </c>
      <c r="D357">
        <v>14</v>
      </c>
      <c r="E357">
        <v>71501</v>
      </c>
      <c r="F357" t="s">
        <v>15</v>
      </c>
    </row>
    <row r="358" spans="1:7" x14ac:dyDescent="0.2">
      <c r="A358" t="s">
        <v>50</v>
      </c>
      <c r="B358" t="s">
        <v>49</v>
      </c>
      <c r="C358">
        <v>2019</v>
      </c>
      <c r="D358">
        <v>15</v>
      </c>
      <c r="E358">
        <v>90436</v>
      </c>
      <c r="F358" t="s">
        <v>44</v>
      </c>
    </row>
    <row r="359" spans="1:7" x14ac:dyDescent="0.2">
      <c r="A359" t="s">
        <v>50</v>
      </c>
      <c r="B359" t="s">
        <v>49</v>
      </c>
      <c r="C359">
        <v>2019</v>
      </c>
      <c r="D359">
        <v>16</v>
      </c>
      <c r="E359">
        <v>70103</v>
      </c>
      <c r="F359" t="s">
        <v>44</v>
      </c>
    </row>
    <row r="360" spans="1:7" x14ac:dyDescent="0.2">
      <c r="A360" t="s">
        <v>50</v>
      </c>
      <c r="B360" t="s">
        <v>49</v>
      </c>
      <c r="C360">
        <v>2019</v>
      </c>
      <c r="D360">
        <v>17</v>
      </c>
      <c r="E360">
        <v>68665</v>
      </c>
      <c r="F360" t="s">
        <v>15</v>
      </c>
    </row>
    <row r="361" spans="1:7" x14ac:dyDescent="0.2">
      <c r="G361">
        <f>AVERAGEIF(F344:F360,"home",E344:E360)</f>
        <v>72790.625</v>
      </c>
    </row>
  </sheetData>
  <pageMargins left="0.7" right="0.7" top="0.75" bottom="0.75" header="0.3" footer="0.3"/>
  <pageSetup orientation="portrait" horizontalDpi="0" verticalDpi="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FBE01E-4CED-4A7B-BF9E-5F304753F892}">
  <sheetPr codeName="Sheet5"/>
  <dimension ref="A1:V361"/>
  <sheetViews>
    <sheetView topLeftCell="A336" workbookViewId="0">
      <selection activeCell="S351" sqref="S351"/>
    </sheetView>
  </sheetViews>
  <sheetFormatPr baseColWidth="10" defaultColWidth="8.6640625" defaultRowHeight="15" x14ac:dyDescent="0.2"/>
  <cols>
    <col min="1" max="1" width="11.33203125" bestFit="1" customWidth="1"/>
    <col min="5" max="5" width="17" bestFit="1" customWidth="1"/>
    <col min="6" max="6" width="11.1640625" bestFit="1" customWidth="1"/>
    <col min="16" max="16" width="12" bestFit="1" customWidth="1"/>
    <col min="17" max="17" width="10.6640625" bestFit="1" customWidth="1"/>
    <col min="18" max="18" width="10.5" bestFit="1" customWidth="1"/>
    <col min="21" max="21" width="10.5" bestFit="1" customWidth="1"/>
    <col min="22" max="22" width="20.5" bestFit="1" customWidth="1"/>
  </cols>
  <sheetData>
    <row r="1" spans="1:22" x14ac:dyDescent="0.2">
      <c r="A1" t="s">
        <v>0</v>
      </c>
      <c r="B1" t="s">
        <v>1</v>
      </c>
      <c r="C1" t="s">
        <v>2</v>
      </c>
      <c r="D1" t="s">
        <v>3</v>
      </c>
      <c r="E1" t="s">
        <v>4</v>
      </c>
      <c r="F1" t="s">
        <v>5</v>
      </c>
      <c r="P1" t="s">
        <v>0</v>
      </c>
      <c r="Q1" t="s">
        <v>1</v>
      </c>
      <c r="R1" t="s">
        <v>2</v>
      </c>
      <c r="S1" t="s">
        <v>6</v>
      </c>
      <c r="T1" t="s">
        <v>7</v>
      </c>
      <c r="U1" t="s">
        <v>8</v>
      </c>
      <c r="V1" t="s">
        <v>9</v>
      </c>
    </row>
    <row r="2" spans="1:22" x14ac:dyDescent="0.2">
      <c r="A2" t="s">
        <v>53</v>
      </c>
      <c r="B2" t="s">
        <v>54</v>
      </c>
      <c r="C2">
        <v>2000</v>
      </c>
      <c r="D2">
        <v>1</v>
      </c>
      <c r="E2">
        <v>54626</v>
      </c>
      <c r="F2" t="s">
        <v>44</v>
      </c>
    </row>
    <row r="3" spans="1:22" x14ac:dyDescent="0.2">
      <c r="A3" t="s">
        <v>53</v>
      </c>
      <c r="B3" t="s">
        <v>54</v>
      </c>
      <c r="C3">
        <v>2000</v>
      </c>
      <c r="D3">
        <v>2</v>
      </c>
      <c r="E3">
        <v>66879</v>
      </c>
      <c r="F3" t="s">
        <v>15</v>
      </c>
    </row>
    <row r="4" spans="1:22" x14ac:dyDescent="0.2">
      <c r="A4" t="s">
        <v>53</v>
      </c>
      <c r="B4" t="s">
        <v>54</v>
      </c>
      <c r="C4">
        <v>2000</v>
      </c>
      <c r="D4">
        <v>3</v>
      </c>
      <c r="E4">
        <v>65945</v>
      </c>
      <c r="F4" t="s">
        <v>44</v>
      </c>
    </row>
    <row r="5" spans="1:22" x14ac:dyDescent="0.2">
      <c r="A5" t="s">
        <v>53</v>
      </c>
      <c r="B5" t="s">
        <v>54</v>
      </c>
      <c r="C5">
        <v>2000</v>
      </c>
      <c r="D5">
        <v>4</v>
      </c>
      <c r="E5">
        <v>64127</v>
      </c>
      <c r="F5" t="s">
        <v>44</v>
      </c>
    </row>
    <row r="6" spans="1:22" x14ac:dyDescent="0.2">
      <c r="A6" t="s">
        <v>53</v>
      </c>
      <c r="B6" t="s">
        <v>54</v>
      </c>
      <c r="C6">
        <v>2000</v>
      </c>
      <c r="D6">
        <v>5</v>
      </c>
      <c r="E6">
        <v>66985</v>
      </c>
      <c r="F6" t="s">
        <v>15</v>
      </c>
    </row>
    <row r="7" spans="1:22" x14ac:dyDescent="0.2">
      <c r="A7" t="s">
        <v>53</v>
      </c>
      <c r="B7" t="s">
        <v>54</v>
      </c>
      <c r="C7">
        <v>2000</v>
      </c>
      <c r="D7">
        <v>6</v>
      </c>
      <c r="E7">
        <v>68344</v>
      </c>
      <c r="F7" t="s">
        <v>15</v>
      </c>
    </row>
    <row r="8" spans="1:22" x14ac:dyDescent="0.2">
      <c r="A8" t="s">
        <v>53</v>
      </c>
      <c r="B8" t="s">
        <v>54</v>
      </c>
      <c r="C8">
        <v>2000</v>
      </c>
      <c r="D8">
        <v>7</v>
      </c>
      <c r="E8">
        <v>59870</v>
      </c>
      <c r="F8" t="s">
        <v>44</v>
      </c>
    </row>
    <row r="9" spans="1:22" x14ac:dyDescent="0.2">
      <c r="A9" t="s">
        <v>53</v>
      </c>
      <c r="B9" t="s">
        <v>54</v>
      </c>
      <c r="C9">
        <v>2000</v>
      </c>
      <c r="D9">
        <v>8</v>
      </c>
      <c r="E9">
        <v>73169</v>
      </c>
      <c r="F9" t="s">
        <v>44</v>
      </c>
      <c r="P9" t="s">
        <v>53</v>
      </c>
      <c r="Q9" t="s">
        <v>54</v>
      </c>
      <c r="R9" t="s">
        <v>16</v>
      </c>
      <c r="S9">
        <v>6</v>
      </c>
      <c r="T9">
        <v>10</v>
      </c>
      <c r="U9" t="s">
        <v>17</v>
      </c>
      <c r="V9" t="s">
        <v>18</v>
      </c>
    </row>
    <row r="10" spans="1:22" x14ac:dyDescent="0.2">
      <c r="A10" t="s">
        <v>53</v>
      </c>
      <c r="B10" t="s">
        <v>54</v>
      </c>
      <c r="C10">
        <v>2000</v>
      </c>
      <c r="D10">
        <v>9</v>
      </c>
      <c r="E10">
        <v>68109</v>
      </c>
      <c r="F10" t="s">
        <v>15</v>
      </c>
    </row>
    <row r="11" spans="1:22" x14ac:dyDescent="0.2">
      <c r="A11" t="s">
        <v>53</v>
      </c>
      <c r="B11" t="s">
        <v>54</v>
      </c>
      <c r="C11">
        <v>2000</v>
      </c>
      <c r="D11">
        <v>10</v>
      </c>
      <c r="E11">
        <v>64900</v>
      </c>
      <c r="F11" t="s">
        <v>44</v>
      </c>
    </row>
    <row r="12" spans="1:22" x14ac:dyDescent="0.2">
      <c r="A12" t="s">
        <v>53</v>
      </c>
      <c r="B12" t="s">
        <v>54</v>
      </c>
      <c r="C12">
        <v>2000</v>
      </c>
      <c r="D12">
        <v>11</v>
      </c>
      <c r="E12">
        <v>68002</v>
      </c>
      <c r="F12" t="s">
        <v>44</v>
      </c>
    </row>
    <row r="13" spans="1:22" x14ac:dyDescent="0.2">
      <c r="A13" t="s">
        <v>53</v>
      </c>
      <c r="B13" t="s">
        <v>54</v>
      </c>
      <c r="C13">
        <v>2000</v>
      </c>
      <c r="D13">
        <v>12</v>
      </c>
      <c r="E13">
        <v>67447</v>
      </c>
      <c r="F13" t="s">
        <v>15</v>
      </c>
    </row>
    <row r="14" spans="1:22" x14ac:dyDescent="0.2">
      <c r="A14" t="s">
        <v>53</v>
      </c>
      <c r="B14" t="s">
        <v>54</v>
      </c>
      <c r="C14">
        <v>2000</v>
      </c>
      <c r="D14">
        <v>13</v>
      </c>
      <c r="E14">
        <v>0</v>
      </c>
      <c r="F14" t="s">
        <v>14</v>
      </c>
    </row>
    <row r="15" spans="1:22" x14ac:dyDescent="0.2">
      <c r="A15" t="s">
        <v>53</v>
      </c>
      <c r="B15" t="s">
        <v>54</v>
      </c>
      <c r="C15">
        <v>2000</v>
      </c>
      <c r="D15">
        <v>14</v>
      </c>
      <c r="E15">
        <v>57255</v>
      </c>
      <c r="F15" t="s">
        <v>44</v>
      </c>
    </row>
    <row r="16" spans="1:22" x14ac:dyDescent="0.2">
      <c r="A16" t="s">
        <v>53</v>
      </c>
      <c r="B16" t="s">
        <v>54</v>
      </c>
      <c r="C16">
        <v>2000</v>
      </c>
      <c r="D16">
        <v>15</v>
      </c>
      <c r="E16">
        <v>67892</v>
      </c>
      <c r="F16" t="s">
        <v>15</v>
      </c>
    </row>
    <row r="17" spans="1:22" x14ac:dyDescent="0.2">
      <c r="A17" t="s">
        <v>53</v>
      </c>
      <c r="B17" t="s">
        <v>54</v>
      </c>
      <c r="C17">
        <v>2000</v>
      </c>
      <c r="D17">
        <v>16</v>
      </c>
      <c r="E17">
        <v>68306</v>
      </c>
      <c r="F17" t="s">
        <v>15</v>
      </c>
    </row>
    <row r="18" spans="1:22" x14ac:dyDescent="0.2">
      <c r="A18" t="s">
        <v>53</v>
      </c>
      <c r="B18" t="s">
        <v>54</v>
      </c>
      <c r="C18">
        <v>2000</v>
      </c>
      <c r="D18">
        <v>17</v>
      </c>
      <c r="E18">
        <v>76098</v>
      </c>
      <c r="F18" t="s">
        <v>44</v>
      </c>
      <c r="G18">
        <f>AVERAGEIF(F2:F18,"home",E2:E18)</f>
        <v>67708.857142857145</v>
      </c>
    </row>
    <row r="19" spans="1:22" x14ac:dyDescent="0.2">
      <c r="A19" t="s">
        <v>0</v>
      </c>
      <c r="B19" t="s">
        <v>1</v>
      </c>
      <c r="C19" t="s">
        <v>2</v>
      </c>
      <c r="D19" t="s">
        <v>3</v>
      </c>
      <c r="E19" t="s">
        <v>4</v>
      </c>
      <c r="P19" t="s">
        <v>0</v>
      </c>
      <c r="Q19" t="s">
        <v>1</v>
      </c>
      <c r="R19" t="s">
        <v>2</v>
      </c>
      <c r="S19" t="s">
        <v>6</v>
      </c>
      <c r="T19" t="s">
        <v>7</v>
      </c>
      <c r="U19" t="s">
        <v>8</v>
      </c>
      <c r="V19" t="s">
        <v>9</v>
      </c>
    </row>
    <row r="20" spans="1:22" x14ac:dyDescent="0.2">
      <c r="A20" t="s">
        <v>53</v>
      </c>
      <c r="B20" t="s">
        <v>54</v>
      </c>
      <c r="C20">
        <v>2001</v>
      </c>
      <c r="D20">
        <v>1</v>
      </c>
      <c r="E20">
        <v>65989</v>
      </c>
      <c r="F20" t="s">
        <v>15</v>
      </c>
    </row>
    <row r="21" spans="1:22" x14ac:dyDescent="0.2">
      <c r="A21" t="s">
        <v>53</v>
      </c>
      <c r="B21" t="s">
        <v>54</v>
      </c>
      <c r="C21">
        <v>2001</v>
      </c>
      <c r="D21">
        <v>2</v>
      </c>
      <c r="E21">
        <v>67536</v>
      </c>
      <c r="F21" t="s">
        <v>15</v>
      </c>
    </row>
    <row r="22" spans="1:22" x14ac:dyDescent="0.2">
      <c r="A22" t="s">
        <v>53</v>
      </c>
      <c r="B22" t="s">
        <v>54</v>
      </c>
      <c r="C22">
        <v>2001</v>
      </c>
      <c r="D22">
        <v>3</v>
      </c>
      <c r="E22">
        <v>78722</v>
      </c>
      <c r="F22" t="s">
        <v>44</v>
      </c>
    </row>
    <row r="23" spans="1:22" x14ac:dyDescent="0.2">
      <c r="A23" t="s">
        <v>53</v>
      </c>
      <c r="B23" t="s">
        <v>54</v>
      </c>
      <c r="C23">
        <v>2001</v>
      </c>
      <c r="D23">
        <v>4</v>
      </c>
      <c r="E23">
        <v>66944</v>
      </c>
      <c r="F23" t="s">
        <v>15</v>
      </c>
    </row>
    <row r="24" spans="1:22" x14ac:dyDescent="0.2">
      <c r="A24" t="s">
        <v>53</v>
      </c>
      <c r="B24" t="s">
        <v>54</v>
      </c>
      <c r="C24">
        <v>2001</v>
      </c>
      <c r="D24">
        <v>5</v>
      </c>
      <c r="E24">
        <v>46727</v>
      </c>
      <c r="F24" t="s">
        <v>44</v>
      </c>
    </row>
    <row r="25" spans="1:22" x14ac:dyDescent="0.2">
      <c r="A25" t="s">
        <v>53</v>
      </c>
      <c r="B25" t="s">
        <v>54</v>
      </c>
      <c r="C25">
        <v>2001</v>
      </c>
      <c r="D25">
        <v>6</v>
      </c>
      <c r="E25">
        <v>0</v>
      </c>
      <c r="F25" t="s">
        <v>14</v>
      </c>
    </row>
    <row r="26" spans="1:22" x14ac:dyDescent="0.2">
      <c r="A26" t="s">
        <v>53</v>
      </c>
      <c r="B26" t="s">
        <v>54</v>
      </c>
      <c r="C26">
        <v>2001</v>
      </c>
      <c r="D26">
        <v>7</v>
      </c>
      <c r="E26">
        <v>66944</v>
      </c>
      <c r="F26" t="s">
        <v>44</v>
      </c>
    </row>
    <row r="27" spans="1:22" x14ac:dyDescent="0.2">
      <c r="A27" t="s">
        <v>53</v>
      </c>
      <c r="B27" t="s">
        <v>54</v>
      </c>
      <c r="C27">
        <v>2001</v>
      </c>
      <c r="D27">
        <v>8</v>
      </c>
      <c r="E27">
        <v>67605</v>
      </c>
      <c r="F27" t="s">
        <v>15</v>
      </c>
      <c r="P27" t="s">
        <v>53</v>
      </c>
      <c r="Q27" t="s">
        <v>54</v>
      </c>
      <c r="R27" t="s">
        <v>19</v>
      </c>
      <c r="S27">
        <v>12</v>
      </c>
      <c r="T27">
        <v>4</v>
      </c>
      <c r="U27" t="s">
        <v>29</v>
      </c>
      <c r="V27" t="s">
        <v>18</v>
      </c>
    </row>
    <row r="28" spans="1:22" x14ac:dyDescent="0.2">
      <c r="A28" t="s">
        <v>53</v>
      </c>
      <c r="B28" t="s">
        <v>54</v>
      </c>
      <c r="C28">
        <v>2001</v>
      </c>
      <c r="D28">
        <v>9</v>
      </c>
      <c r="E28">
        <v>68083</v>
      </c>
      <c r="F28" t="s">
        <v>15</v>
      </c>
    </row>
    <row r="29" spans="1:22" x14ac:dyDescent="0.2">
      <c r="A29" t="s">
        <v>53</v>
      </c>
      <c r="B29" t="s">
        <v>54</v>
      </c>
      <c r="C29">
        <v>2001</v>
      </c>
      <c r="D29">
        <v>10</v>
      </c>
      <c r="E29">
        <v>72665</v>
      </c>
      <c r="F29" t="s">
        <v>44</v>
      </c>
    </row>
    <row r="30" spans="1:22" x14ac:dyDescent="0.2">
      <c r="A30" t="s">
        <v>53</v>
      </c>
      <c r="B30" t="s">
        <v>54</v>
      </c>
      <c r="C30">
        <v>2001</v>
      </c>
      <c r="D30">
        <v>11</v>
      </c>
      <c r="E30">
        <v>56393</v>
      </c>
      <c r="F30" t="s">
        <v>44</v>
      </c>
    </row>
    <row r="31" spans="1:22" x14ac:dyDescent="0.2">
      <c r="A31" t="s">
        <v>53</v>
      </c>
      <c r="B31" t="s">
        <v>54</v>
      </c>
      <c r="C31">
        <v>2001</v>
      </c>
      <c r="D31">
        <v>12</v>
      </c>
      <c r="E31">
        <v>67252</v>
      </c>
      <c r="F31" t="s">
        <v>15</v>
      </c>
    </row>
    <row r="32" spans="1:22" x14ac:dyDescent="0.2">
      <c r="A32" t="s">
        <v>53</v>
      </c>
      <c r="B32" t="s">
        <v>54</v>
      </c>
      <c r="C32">
        <v>2001</v>
      </c>
      <c r="D32">
        <v>13</v>
      </c>
      <c r="E32">
        <v>66218</v>
      </c>
      <c r="F32" t="s">
        <v>44</v>
      </c>
    </row>
    <row r="33" spans="1:22" x14ac:dyDescent="0.2">
      <c r="A33" t="s">
        <v>53</v>
      </c>
      <c r="B33" t="s">
        <v>54</v>
      </c>
      <c r="C33">
        <v>2001</v>
      </c>
      <c r="D33">
        <v>14</v>
      </c>
      <c r="E33">
        <v>68223</v>
      </c>
      <c r="F33" t="s">
        <v>15</v>
      </c>
    </row>
    <row r="34" spans="1:22" x14ac:dyDescent="0.2">
      <c r="A34" t="s">
        <v>53</v>
      </c>
      <c r="B34" t="s">
        <v>54</v>
      </c>
      <c r="C34">
        <v>2001</v>
      </c>
      <c r="D34">
        <v>15</v>
      </c>
      <c r="E34">
        <v>68124</v>
      </c>
      <c r="F34" t="s">
        <v>15</v>
      </c>
    </row>
    <row r="35" spans="1:22" x14ac:dyDescent="0.2">
      <c r="A35" t="s">
        <v>53</v>
      </c>
      <c r="B35" t="s">
        <v>54</v>
      </c>
      <c r="C35">
        <v>2001</v>
      </c>
      <c r="D35">
        <v>16</v>
      </c>
      <c r="E35">
        <v>64366</v>
      </c>
      <c r="F35" t="s">
        <v>44</v>
      </c>
    </row>
    <row r="36" spans="1:22" x14ac:dyDescent="0.2">
      <c r="A36" t="s">
        <v>53</v>
      </c>
      <c r="B36" t="s">
        <v>54</v>
      </c>
      <c r="C36">
        <v>2001</v>
      </c>
      <c r="D36">
        <v>17</v>
      </c>
      <c r="E36">
        <v>70020</v>
      </c>
      <c r="F36" t="s">
        <v>44</v>
      </c>
      <c r="G36">
        <f>AVERAGEIF(F20:F36,"home",E20:E36)</f>
        <v>67469.5</v>
      </c>
    </row>
    <row r="37" spans="1:22" x14ac:dyDescent="0.2">
      <c r="A37" t="s">
        <v>0</v>
      </c>
      <c r="B37" t="s">
        <v>1</v>
      </c>
      <c r="C37" t="s">
        <v>2</v>
      </c>
      <c r="D37" t="s">
        <v>3</v>
      </c>
      <c r="E37" t="s">
        <v>4</v>
      </c>
      <c r="P37" t="s">
        <v>0</v>
      </c>
      <c r="Q37" t="s">
        <v>1</v>
      </c>
      <c r="R37" t="s">
        <v>2</v>
      </c>
      <c r="S37" t="s">
        <v>6</v>
      </c>
      <c r="T37" t="s">
        <v>7</v>
      </c>
      <c r="U37" t="s">
        <v>8</v>
      </c>
      <c r="V37" t="s">
        <v>9</v>
      </c>
    </row>
    <row r="38" spans="1:22" x14ac:dyDescent="0.2">
      <c r="A38" t="s">
        <v>53</v>
      </c>
      <c r="B38" t="s">
        <v>54</v>
      </c>
      <c r="C38">
        <v>2002</v>
      </c>
      <c r="D38">
        <v>1</v>
      </c>
      <c r="E38">
        <v>78748</v>
      </c>
      <c r="F38" t="s">
        <v>44</v>
      </c>
    </row>
    <row r="39" spans="1:22" x14ac:dyDescent="0.2">
      <c r="A39" t="s">
        <v>53</v>
      </c>
      <c r="B39" t="s">
        <v>54</v>
      </c>
      <c r="C39">
        <v>2002</v>
      </c>
      <c r="D39">
        <v>2</v>
      </c>
      <c r="E39">
        <v>67685</v>
      </c>
      <c r="F39" t="s">
        <v>15</v>
      </c>
    </row>
    <row r="40" spans="1:22" x14ac:dyDescent="0.2">
      <c r="A40" t="s">
        <v>53</v>
      </c>
      <c r="B40" t="s">
        <v>54</v>
      </c>
      <c r="C40">
        <v>2002</v>
      </c>
      <c r="D40">
        <v>3</v>
      </c>
      <c r="E40">
        <v>67541</v>
      </c>
      <c r="F40" t="s">
        <v>15</v>
      </c>
    </row>
    <row r="41" spans="1:22" x14ac:dyDescent="0.2">
      <c r="A41" t="s">
        <v>53</v>
      </c>
      <c r="B41" t="s">
        <v>54</v>
      </c>
      <c r="C41">
        <v>2002</v>
      </c>
      <c r="D41">
        <v>4</v>
      </c>
      <c r="E41">
        <v>0</v>
      </c>
      <c r="F41" t="s">
        <v>14</v>
      </c>
    </row>
    <row r="42" spans="1:22" x14ac:dyDescent="0.2">
      <c r="A42" t="s">
        <v>53</v>
      </c>
      <c r="B42" t="s">
        <v>54</v>
      </c>
      <c r="C42">
        <v>2002</v>
      </c>
      <c r="D42">
        <v>5</v>
      </c>
      <c r="E42">
        <v>67853</v>
      </c>
      <c r="F42" t="s">
        <v>15</v>
      </c>
    </row>
    <row r="43" spans="1:22" x14ac:dyDescent="0.2">
      <c r="A43" t="s">
        <v>53</v>
      </c>
      <c r="B43" t="s">
        <v>54</v>
      </c>
      <c r="C43">
        <v>2002</v>
      </c>
      <c r="D43">
        <v>6</v>
      </c>
      <c r="E43">
        <v>66420</v>
      </c>
      <c r="F43" t="s">
        <v>44</v>
      </c>
    </row>
    <row r="44" spans="1:22" x14ac:dyDescent="0.2">
      <c r="A44" t="s">
        <v>53</v>
      </c>
      <c r="B44" t="s">
        <v>54</v>
      </c>
      <c r="C44">
        <v>2002</v>
      </c>
      <c r="D44">
        <v>7</v>
      </c>
      <c r="E44">
        <v>67903</v>
      </c>
      <c r="F44" t="s">
        <v>44</v>
      </c>
    </row>
    <row r="45" spans="1:22" x14ac:dyDescent="0.2">
      <c r="A45" t="s">
        <v>53</v>
      </c>
      <c r="B45" t="s">
        <v>54</v>
      </c>
      <c r="C45">
        <v>2002</v>
      </c>
      <c r="D45">
        <v>8</v>
      </c>
      <c r="E45">
        <v>67173</v>
      </c>
      <c r="F45" t="s">
        <v>15</v>
      </c>
      <c r="P45" t="s">
        <v>53</v>
      </c>
      <c r="Q45" t="s">
        <v>54</v>
      </c>
      <c r="R45" t="s">
        <v>20</v>
      </c>
      <c r="S45">
        <v>10</v>
      </c>
      <c r="T45">
        <v>6</v>
      </c>
      <c r="U45" t="s">
        <v>29</v>
      </c>
      <c r="V45" t="s">
        <v>18</v>
      </c>
    </row>
    <row r="46" spans="1:22" x14ac:dyDescent="0.2">
      <c r="A46" t="s">
        <v>53</v>
      </c>
      <c r="B46" t="s">
        <v>54</v>
      </c>
      <c r="C46">
        <v>2002</v>
      </c>
      <c r="D46">
        <v>9</v>
      </c>
      <c r="E46">
        <v>62660</v>
      </c>
      <c r="F46" t="s">
        <v>44</v>
      </c>
    </row>
    <row r="47" spans="1:22" x14ac:dyDescent="0.2">
      <c r="A47" t="s">
        <v>53</v>
      </c>
      <c r="B47" t="s">
        <v>54</v>
      </c>
      <c r="C47">
        <v>2002</v>
      </c>
      <c r="D47">
        <v>10</v>
      </c>
      <c r="E47">
        <v>67881</v>
      </c>
      <c r="F47" t="s">
        <v>15</v>
      </c>
    </row>
    <row r="48" spans="1:22" x14ac:dyDescent="0.2">
      <c r="A48" t="s">
        <v>53</v>
      </c>
      <c r="B48" t="s">
        <v>54</v>
      </c>
      <c r="C48">
        <v>2002</v>
      </c>
      <c r="D48">
        <v>11</v>
      </c>
      <c r="E48">
        <v>67161</v>
      </c>
      <c r="F48" t="s">
        <v>44</v>
      </c>
    </row>
    <row r="49" spans="1:22" x14ac:dyDescent="0.2">
      <c r="A49" t="s">
        <v>53</v>
      </c>
      <c r="B49" t="s">
        <v>54</v>
      </c>
      <c r="C49">
        <v>2002</v>
      </c>
      <c r="D49">
        <v>12</v>
      </c>
      <c r="E49">
        <v>67919</v>
      </c>
      <c r="F49" t="s">
        <v>15</v>
      </c>
    </row>
    <row r="50" spans="1:22" x14ac:dyDescent="0.2">
      <c r="A50" t="s">
        <v>53</v>
      </c>
      <c r="B50" t="s">
        <v>54</v>
      </c>
      <c r="C50">
        <v>2002</v>
      </c>
      <c r="D50">
        <v>13</v>
      </c>
      <c r="E50">
        <v>67594</v>
      </c>
      <c r="F50" t="s">
        <v>15</v>
      </c>
    </row>
    <row r="51" spans="1:22" x14ac:dyDescent="0.2">
      <c r="A51" t="s">
        <v>53</v>
      </c>
      <c r="B51" t="s">
        <v>54</v>
      </c>
      <c r="C51">
        <v>2002</v>
      </c>
      <c r="D51">
        <v>14</v>
      </c>
      <c r="E51">
        <v>64097</v>
      </c>
      <c r="F51" t="s">
        <v>44</v>
      </c>
    </row>
    <row r="52" spans="1:22" x14ac:dyDescent="0.2">
      <c r="A52" t="s">
        <v>53</v>
      </c>
      <c r="B52" t="s">
        <v>54</v>
      </c>
      <c r="C52">
        <v>2002</v>
      </c>
      <c r="D52">
        <v>15</v>
      </c>
      <c r="E52">
        <v>67947</v>
      </c>
      <c r="F52" t="s">
        <v>15</v>
      </c>
    </row>
    <row r="53" spans="1:22" x14ac:dyDescent="0.2">
      <c r="A53" t="s">
        <v>53</v>
      </c>
      <c r="B53" t="s">
        <v>54</v>
      </c>
      <c r="C53">
        <v>2002</v>
      </c>
      <c r="D53">
        <v>16</v>
      </c>
      <c r="E53">
        <v>44051</v>
      </c>
      <c r="F53" t="s">
        <v>44</v>
      </c>
    </row>
    <row r="54" spans="1:22" x14ac:dyDescent="0.2">
      <c r="A54" t="s">
        <v>53</v>
      </c>
      <c r="B54" t="s">
        <v>54</v>
      </c>
      <c r="C54">
        <v>2002</v>
      </c>
      <c r="D54">
        <v>17</v>
      </c>
      <c r="E54">
        <v>66118</v>
      </c>
      <c r="F54" t="s">
        <v>44</v>
      </c>
      <c r="G54">
        <f>AVERAGEIF(F38:F54,"home",E38:E54)</f>
        <v>67699.125</v>
      </c>
    </row>
    <row r="55" spans="1:22" x14ac:dyDescent="0.2">
      <c r="A55" t="s">
        <v>0</v>
      </c>
      <c r="B55" t="s">
        <v>1</v>
      </c>
      <c r="C55" t="s">
        <v>2</v>
      </c>
      <c r="D55" t="s">
        <v>3</v>
      </c>
      <c r="E55" t="s">
        <v>4</v>
      </c>
      <c r="P55" t="s">
        <v>0</v>
      </c>
      <c r="Q55" t="s">
        <v>1</v>
      </c>
      <c r="R55" t="s">
        <v>2</v>
      </c>
      <c r="S55" t="s">
        <v>6</v>
      </c>
      <c r="T55" t="s">
        <v>7</v>
      </c>
      <c r="U55" t="s">
        <v>8</v>
      </c>
      <c r="V55" t="s">
        <v>9</v>
      </c>
    </row>
    <row r="56" spans="1:22" x14ac:dyDescent="0.2">
      <c r="A56" t="s">
        <v>53</v>
      </c>
      <c r="B56" t="s">
        <v>54</v>
      </c>
      <c r="C56">
        <v>2003</v>
      </c>
      <c r="D56">
        <v>1</v>
      </c>
      <c r="E56">
        <v>67554</v>
      </c>
      <c r="F56" t="s">
        <v>15</v>
      </c>
    </row>
    <row r="57" spans="1:22" x14ac:dyDescent="0.2">
      <c r="A57" t="s">
        <v>53</v>
      </c>
      <c r="B57" t="s">
        <v>54</v>
      </c>
      <c r="C57">
        <v>2003</v>
      </c>
      <c r="D57">
        <v>2</v>
      </c>
      <c r="E57">
        <v>65990</v>
      </c>
      <c r="F57" t="s">
        <v>44</v>
      </c>
    </row>
    <row r="58" spans="1:22" x14ac:dyDescent="0.2">
      <c r="A58" t="s">
        <v>53</v>
      </c>
      <c r="B58" t="s">
        <v>54</v>
      </c>
      <c r="C58">
        <v>2003</v>
      </c>
      <c r="D58">
        <v>3</v>
      </c>
      <c r="E58">
        <v>67412</v>
      </c>
      <c r="F58" t="s">
        <v>15</v>
      </c>
    </row>
    <row r="59" spans="1:22" x14ac:dyDescent="0.2">
      <c r="A59" t="s">
        <v>53</v>
      </c>
      <c r="B59" t="s">
        <v>54</v>
      </c>
      <c r="C59">
        <v>2003</v>
      </c>
      <c r="D59">
        <v>4</v>
      </c>
      <c r="E59">
        <v>64111</v>
      </c>
      <c r="F59" t="s">
        <v>44</v>
      </c>
    </row>
    <row r="60" spans="1:22" x14ac:dyDescent="0.2">
      <c r="A60" t="s">
        <v>53</v>
      </c>
      <c r="B60" t="s">
        <v>54</v>
      </c>
      <c r="C60">
        <v>2003</v>
      </c>
      <c r="D60">
        <v>5</v>
      </c>
      <c r="E60">
        <v>67365</v>
      </c>
      <c r="F60" t="s">
        <v>15</v>
      </c>
    </row>
    <row r="61" spans="1:22" x14ac:dyDescent="0.2">
      <c r="A61" t="s">
        <v>53</v>
      </c>
      <c r="B61" t="s">
        <v>54</v>
      </c>
      <c r="C61">
        <v>2003</v>
      </c>
      <c r="D61">
        <v>6</v>
      </c>
      <c r="E61">
        <v>66437</v>
      </c>
      <c r="F61" t="s">
        <v>44</v>
      </c>
    </row>
    <row r="62" spans="1:22" x14ac:dyDescent="0.2">
      <c r="A62" t="s">
        <v>53</v>
      </c>
      <c r="B62" t="s">
        <v>54</v>
      </c>
      <c r="C62">
        <v>2003</v>
      </c>
      <c r="D62">
        <v>7</v>
      </c>
      <c r="E62">
        <v>67809</v>
      </c>
      <c r="F62" t="s">
        <v>15</v>
      </c>
    </row>
    <row r="63" spans="1:22" x14ac:dyDescent="0.2">
      <c r="A63" t="s">
        <v>53</v>
      </c>
      <c r="B63" t="s">
        <v>54</v>
      </c>
      <c r="C63">
        <v>2003</v>
      </c>
      <c r="D63">
        <v>8</v>
      </c>
      <c r="E63">
        <v>40824</v>
      </c>
      <c r="F63" t="s">
        <v>44</v>
      </c>
      <c r="P63" t="s">
        <v>53</v>
      </c>
      <c r="Q63" t="s">
        <v>54</v>
      </c>
      <c r="R63" t="s">
        <v>21</v>
      </c>
      <c r="S63">
        <v>7</v>
      </c>
      <c r="T63">
        <v>9</v>
      </c>
      <c r="U63" t="s">
        <v>17</v>
      </c>
      <c r="V63" t="s">
        <v>18</v>
      </c>
    </row>
    <row r="64" spans="1:22" x14ac:dyDescent="0.2">
      <c r="A64" t="s">
        <v>53</v>
      </c>
      <c r="B64" t="s">
        <v>54</v>
      </c>
      <c r="C64">
        <v>2003</v>
      </c>
      <c r="D64">
        <v>9</v>
      </c>
      <c r="E64">
        <v>67812</v>
      </c>
      <c r="F64" t="s">
        <v>15</v>
      </c>
    </row>
    <row r="65" spans="1:22" x14ac:dyDescent="0.2">
      <c r="A65" t="s">
        <v>53</v>
      </c>
      <c r="B65" t="s">
        <v>54</v>
      </c>
      <c r="C65">
        <v>2003</v>
      </c>
      <c r="D65">
        <v>10</v>
      </c>
      <c r="E65">
        <v>0</v>
      </c>
      <c r="F65" t="s">
        <v>14</v>
      </c>
    </row>
    <row r="66" spans="1:22" x14ac:dyDescent="0.2">
      <c r="A66" t="s">
        <v>53</v>
      </c>
      <c r="B66" t="s">
        <v>54</v>
      </c>
      <c r="C66">
        <v>2003</v>
      </c>
      <c r="D66">
        <v>11</v>
      </c>
      <c r="E66">
        <v>67877</v>
      </c>
      <c r="F66" t="s">
        <v>15</v>
      </c>
    </row>
    <row r="67" spans="1:22" x14ac:dyDescent="0.2">
      <c r="A67" t="s">
        <v>53</v>
      </c>
      <c r="B67" t="s">
        <v>54</v>
      </c>
      <c r="C67">
        <v>2003</v>
      </c>
      <c r="D67">
        <v>12</v>
      </c>
      <c r="E67">
        <v>70250</v>
      </c>
      <c r="F67" t="s">
        <v>44</v>
      </c>
    </row>
    <row r="68" spans="1:22" x14ac:dyDescent="0.2">
      <c r="A68" t="s">
        <v>53</v>
      </c>
      <c r="B68" t="s">
        <v>54</v>
      </c>
      <c r="C68">
        <v>2003</v>
      </c>
      <c r="D68">
        <v>13</v>
      </c>
      <c r="E68">
        <v>69549</v>
      </c>
      <c r="F68" t="s">
        <v>44</v>
      </c>
    </row>
    <row r="69" spans="1:22" x14ac:dyDescent="0.2">
      <c r="A69" t="s">
        <v>53</v>
      </c>
      <c r="B69" t="s">
        <v>54</v>
      </c>
      <c r="C69">
        <v>2003</v>
      </c>
      <c r="D69">
        <v>14</v>
      </c>
      <c r="E69">
        <v>66975</v>
      </c>
      <c r="F69" t="s">
        <v>15</v>
      </c>
    </row>
    <row r="70" spans="1:22" x14ac:dyDescent="0.2">
      <c r="A70" t="s">
        <v>53</v>
      </c>
      <c r="B70" t="s">
        <v>54</v>
      </c>
      <c r="C70">
        <v>2003</v>
      </c>
      <c r="D70">
        <v>15</v>
      </c>
      <c r="E70">
        <v>64666</v>
      </c>
      <c r="F70" t="s">
        <v>44</v>
      </c>
    </row>
    <row r="71" spans="1:22" x14ac:dyDescent="0.2">
      <c r="A71" t="s">
        <v>53</v>
      </c>
      <c r="B71" t="s">
        <v>54</v>
      </c>
      <c r="C71">
        <v>2003</v>
      </c>
      <c r="D71">
        <v>16</v>
      </c>
      <c r="E71">
        <v>67866</v>
      </c>
      <c r="F71" t="s">
        <v>44</v>
      </c>
    </row>
    <row r="72" spans="1:22" x14ac:dyDescent="0.2">
      <c r="A72" t="s">
        <v>53</v>
      </c>
      <c r="B72" t="s">
        <v>54</v>
      </c>
      <c r="C72">
        <v>2003</v>
      </c>
      <c r="D72">
        <v>17</v>
      </c>
      <c r="E72">
        <v>67840</v>
      </c>
      <c r="F72" t="s">
        <v>15</v>
      </c>
      <c r="G72">
        <f>AVERAGEIF(F56:F72,"home",E56:E72)</f>
        <v>67580.5</v>
      </c>
    </row>
    <row r="73" spans="1:22" x14ac:dyDescent="0.2">
      <c r="A73" t="s">
        <v>0</v>
      </c>
      <c r="B73" t="s">
        <v>1</v>
      </c>
      <c r="C73" t="s">
        <v>2</v>
      </c>
      <c r="D73" t="s">
        <v>3</v>
      </c>
      <c r="E73" t="s">
        <v>4</v>
      </c>
      <c r="P73" t="s">
        <v>0</v>
      </c>
      <c r="Q73" t="s">
        <v>1</v>
      </c>
      <c r="R73" t="s">
        <v>2</v>
      </c>
      <c r="S73" t="s">
        <v>6</v>
      </c>
      <c r="T73" t="s">
        <v>7</v>
      </c>
      <c r="U73" t="s">
        <v>8</v>
      </c>
      <c r="V73" t="s">
        <v>9</v>
      </c>
    </row>
    <row r="74" spans="1:22" x14ac:dyDescent="0.2">
      <c r="A74" t="s">
        <v>53</v>
      </c>
      <c r="B74" t="s">
        <v>54</v>
      </c>
      <c r="C74">
        <v>2004</v>
      </c>
      <c r="D74">
        <v>1</v>
      </c>
      <c r="E74">
        <v>65584</v>
      </c>
      <c r="F74" t="s">
        <v>15</v>
      </c>
    </row>
    <row r="75" spans="1:22" x14ac:dyDescent="0.2">
      <c r="A75" t="s">
        <v>53</v>
      </c>
      <c r="B75" t="s">
        <v>54</v>
      </c>
      <c r="C75">
        <v>2004</v>
      </c>
      <c r="D75">
        <v>2</v>
      </c>
      <c r="E75">
        <v>64900</v>
      </c>
      <c r="F75" t="s">
        <v>44</v>
      </c>
    </row>
    <row r="76" spans="1:22" x14ac:dyDescent="0.2">
      <c r="A76" t="s">
        <v>53</v>
      </c>
      <c r="B76" t="s">
        <v>54</v>
      </c>
      <c r="C76">
        <v>2004</v>
      </c>
      <c r="D76">
        <v>3</v>
      </c>
      <c r="E76">
        <v>66709</v>
      </c>
      <c r="F76" t="s">
        <v>44</v>
      </c>
    </row>
    <row r="77" spans="1:22" x14ac:dyDescent="0.2">
      <c r="A77" t="s">
        <v>53</v>
      </c>
      <c r="B77" t="s">
        <v>54</v>
      </c>
      <c r="C77">
        <v>2004</v>
      </c>
      <c r="D77">
        <v>4</v>
      </c>
      <c r="E77">
        <v>66696</v>
      </c>
      <c r="F77" t="s">
        <v>15</v>
      </c>
    </row>
    <row r="78" spans="1:22" x14ac:dyDescent="0.2">
      <c r="A78" t="s">
        <v>53</v>
      </c>
      <c r="B78" t="s">
        <v>54</v>
      </c>
      <c r="C78">
        <v>2004</v>
      </c>
      <c r="D78">
        <v>5</v>
      </c>
      <c r="E78">
        <v>62836</v>
      </c>
      <c r="F78" t="s">
        <v>15</v>
      </c>
    </row>
    <row r="79" spans="1:22" x14ac:dyDescent="0.2">
      <c r="A79" t="s">
        <v>53</v>
      </c>
      <c r="B79" t="s">
        <v>54</v>
      </c>
      <c r="C79">
        <v>2004</v>
      </c>
      <c r="D79">
        <v>6</v>
      </c>
      <c r="E79">
        <v>78189</v>
      </c>
      <c r="F79" t="s">
        <v>44</v>
      </c>
    </row>
    <row r="80" spans="1:22" x14ac:dyDescent="0.2">
      <c r="A80" t="s">
        <v>53</v>
      </c>
      <c r="B80" t="s">
        <v>54</v>
      </c>
      <c r="C80">
        <v>2004</v>
      </c>
      <c r="D80">
        <v>7</v>
      </c>
      <c r="E80">
        <v>0</v>
      </c>
      <c r="F80" t="s">
        <v>14</v>
      </c>
    </row>
    <row r="81" spans="1:22" x14ac:dyDescent="0.2">
      <c r="A81" t="s">
        <v>53</v>
      </c>
      <c r="B81" t="s">
        <v>54</v>
      </c>
      <c r="C81">
        <v>2004</v>
      </c>
      <c r="D81">
        <v>8</v>
      </c>
      <c r="E81">
        <v>62054</v>
      </c>
      <c r="F81" t="s">
        <v>44</v>
      </c>
      <c r="P81" t="s">
        <v>53</v>
      </c>
      <c r="Q81" t="s">
        <v>54</v>
      </c>
      <c r="R81" t="s">
        <v>22</v>
      </c>
      <c r="S81">
        <v>2</v>
      </c>
      <c r="T81">
        <v>14</v>
      </c>
      <c r="U81" t="s">
        <v>17</v>
      </c>
      <c r="V81" t="s">
        <v>18</v>
      </c>
    </row>
    <row r="82" spans="1:22" x14ac:dyDescent="0.2">
      <c r="A82" t="s">
        <v>53</v>
      </c>
      <c r="B82" t="s">
        <v>54</v>
      </c>
      <c r="C82">
        <v>2004</v>
      </c>
      <c r="D82">
        <v>9</v>
      </c>
      <c r="E82">
        <v>64423</v>
      </c>
      <c r="F82" t="s">
        <v>15</v>
      </c>
    </row>
    <row r="83" spans="1:22" x14ac:dyDescent="0.2">
      <c r="A83" t="s">
        <v>53</v>
      </c>
      <c r="B83" t="s">
        <v>54</v>
      </c>
      <c r="C83">
        <v>2004</v>
      </c>
      <c r="D83">
        <v>10</v>
      </c>
      <c r="E83">
        <v>63618</v>
      </c>
      <c r="F83" t="s">
        <v>15</v>
      </c>
    </row>
    <row r="84" spans="1:22" x14ac:dyDescent="0.2">
      <c r="A84" t="s">
        <v>53</v>
      </c>
      <c r="B84" t="s">
        <v>54</v>
      </c>
      <c r="C84">
        <v>2004</v>
      </c>
      <c r="D84">
        <v>11</v>
      </c>
      <c r="E84">
        <v>65234</v>
      </c>
      <c r="F84" t="s">
        <v>44</v>
      </c>
    </row>
    <row r="85" spans="1:22" x14ac:dyDescent="0.2">
      <c r="A85" t="s">
        <v>53</v>
      </c>
      <c r="B85" t="s">
        <v>54</v>
      </c>
      <c r="C85">
        <v>2004</v>
      </c>
      <c r="D85">
        <v>12</v>
      </c>
      <c r="E85">
        <v>66156</v>
      </c>
      <c r="F85" t="s">
        <v>15</v>
      </c>
    </row>
    <row r="86" spans="1:22" x14ac:dyDescent="0.2">
      <c r="A86" t="s">
        <v>53</v>
      </c>
      <c r="B86" t="s">
        <v>54</v>
      </c>
      <c r="C86">
        <v>2004</v>
      </c>
      <c r="D86">
        <v>13</v>
      </c>
      <c r="E86">
        <v>65793</v>
      </c>
      <c r="F86" t="s">
        <v>44</v>
      </c>
    </row>
    <row r="87" spans="1:22" x14ac:dyDescent="0.2">
      <c r="A87" t="s">
        <v>53</v>
      </c>
      <c r="B87" t="s">
        <v>54</v>
      </c>
      <c r="C87">
        <v>2004</v>
      </c>
      <c r="D87">
        <v>14</v>
      </c>
      <c r="E87">
        <v>35069</v>
      </c>
      <c r="F87" t="s">
        <v>44</v>
      </c>
    </row>
    <row r="88" spans="1:22" x14ac:dyDescent="0.2">
      <c r="A88" t="s">
        <v>53</v>
      </c>
      <c r="B88" t="s">
        <v>54</v>
      </c>
      <c r="C88">
        <v>2004</v>
      </c>
      <c r="D88">
        <v>15</v>
      </c>
      <c r="E88">
        <v>65710</v>
      </c>
      <c r="F88" t="s">
        <v>15</v>
      </c>
    </row>
    <row r="89" spans="1:22" x14ac:dyDescent="0.2">
      <c r="A89" t="s">
        <v>53</v>
      </c>
      <c r="B89" t="s">
        <v>54</v>
      </c>
      <c r="C89">
        <v>2004</v>
      </c>
      <c r="D89">
        <v>16</v>
      </c>
      <c r="E89">
        <v>63248</v>
      </c>
      <c r="F89" t="s">
        <v>15</v>
      </c>
    </row>
    <row r="90" spans="1:22" x14ac:dyDescent="0.2">
      <c r="A90" t="s">
        <v>53</v>
      </c>
      <c r="B90" t="s">
        <v>54</v>
      </c>
      <c r="C90">
        <v>2004</v>
      </c>
      <c r="D90">
        <v>17</v>
      </c>
      <c r="E90">
        <v>68756</v>
      </c>
      <c r="F90" t="s">
        <v>44</v>
      </c>
    </row>
    <row r="91" spans="1:22" x14ac:dyDescent="0.2">
      <c r="A91" t="s">
        <v>0</v>
      </c>
      <c r="B91" t="s">
        <v>1</v>
      </c>
      <c r="C91" t="s">
        <v>2</v>
      </c>
      <c r="D91" t="s">
        <v>3</v>
      </c>
      <c r="E91" t="s">
        <v>4</v>
      </c>
      <c r="G91">
        <f>AVERAGEIF(F74:F90,"home",E74:E90)</f>
        <v>64783.875</v>
      </c>
      <c r="P91" t="s">
        <v>0</v>
      </c>
      <c r="Q91" t="s">
        <v>1</v>
      </c>
      <c r="R91" t="s">
        <v>2</v>
      </c>
      <c r="S91" t="s">
        <v>6</v>
      </c>
      <c r="T91" t="s">
        <v>7</v>
      </c>
      <c r="U91" t="s">
        <v>8</v>
      </c>
      <c r="V91" t="s">
        <v>9</v>
      </c>
    </row>
    <row r="92" spans="1:22" x14ac:dyDescent="0.2">
      <c r="A92" t="s">
        <v>53</v>
      </c>
      <c r="B92" t="s">
        <v>54</v>
      </c>
      <c r="C92">
        <v>2005</v>
      </c>
      <c r="D92">
        <v>1</v>
      </c>
      <c r="E92">
        <v>67918</v>
      </c>
      <c r="F92" t="s">
        <v>15</v>
      </c>
    </row>
    <row r="93" spans="1:22" x14ac:dyDescent="0.2">
      <c r="A93" t="s">
        <v>53</v>
      </c>
      <c r="B93" t="s">
        <v>54</v>
      </c>
      <c r="C93">
        <v>2005</v>
      </c>
      <c r="D93">
        <v>2</v>
      </c>
      <c r="E93">
        <v>67727</v>
      </c>
      <c r="F93" t="s">
        <v>44</v>
      </c>
    </row>
    <row r="94" spans="1:22" x14ac:dyDescent="0.2">
      <c r="A94" t="s">
        <v>53</v>
      </c>
      <c r="B94" t="s">
        <v>54</v>
      </c>
      <c r="C94">
        <v>2005</v>
      </c>
      <c r="D94">
        <v>3</v>
      </c>
      <c r="E94">
        <v>68247</v>
      </c>
      <c r="F94" t="s">
        <v>15</v>
      </c>
    </row>
    <row r="95" spans="1:22" x14ac:dyDescent="0.2">
      <c r="A95" t="s">
        <v>53</v>
      </c>
      <c r="B95" t="s">
        <v>54</v>
      </c>
      <c r="C95">
        <v>2005</v>
      </c>
      <c r="D95">
        <v>4</v>
      </c>
      <c r="E95">
        <v>103467</v>
      </c>
      <c r="F95" t="s">
        <v>44</v>
      </c>
    </row>
    <row r="96" spans="1:22" x14ac:dyDescent="0.2">
      <c r="A96" t="s">
        <v>53</v>
      </c>
      <c r="B96" t="s">
        <v>54</v>
      </c>
      <c r="C96">
        <v>2005</v>
      </c>
      <c r="D96">
        <v>5</v>
      </c>
      <c r="E96">
        <v>68084</v>
      </c>
      <c r="F96" t="s">
        <v>15</v>
      </c>
    </row>
    <row r="97" spans="1:22" x14ac:dyDescent="0.2">
      <c r="A97" t="s">
        <v>53</v>
      </c>
      <c r="B97" t="s">
        <v>54</v>
      </c>
      <c r="C97">
        <v>2005</v>
      </c>
      <c r="D97">
        <v>6</v>
      </c>
      <c r="E97">
        <v>0</v>
      </c>
      <c r="F97" t="s">
        <v>14</v>
      </c>
    </row>
    <row r="98" spans="1:22" x14ac:dyDescent="0.2">
      <c r="A98" t="s">
        <v>53</v>
      </c>
      <c r="B98" t="s">
        <v>54</v>
      </c>
      <c r="C98">
        <v>2005</v>
      </c>
      <c r="D98">
        <v>7</v>
      </c>
      <c r="E98">
        <v>90224</v>
      </c>
      <c r="F98" t="s">
        <v>44</v>
      </c>
    </row>
    <row r="99" spans="1:22" x14ac:dyDescent="0.2">
      <c r="A99" t="s">
        <v>53</v>
      </c>
      <c r="B99" t="s">
        <v>54</v>
      </c>
      <c r="C99">
        <v>2005</v>
      </c>
      <c r="D99">
        <v>8</v>
      </c>
      <c r="E99">
        <v>63358</v>
      </c>
      <c r="F99" t="s">
        <v>15</v>
      </c>
      <c r="P99" t="s">
        <v>53</v>
      </c>
      <c r="Q99" t="s">
        <v>54</v>
      </c>
      <c r="R99" t="s">
        <v>25</v>
      </c>
      <c r="S99">
        <v>4</v>
      </c>
      <c r="T99">
        <v>12</v>
      </c>
      <c r="U99" t="s">
        <v>17</v>
      </c>
      <c r="V99" t="s">
        <v>18</v>
      </c>
    </row>
    <row r="100" spans="1:22" x14ac:dyDescent="0.2">
      <c r="A100" t="s">
        <v>53</v>
      </c>
      <c r="B100" t="s">
        <v>54</v>
      </c>
      <c r="C100">
        <v>2005</v>
      </c>
      <c r="D100">
        <v>9</v>
      </c>
      <c r="E100">
        <v>63820</v>
      </c>
      <c r="F100" t="s">
        <v>15</v>
      </c>
    </row>
    <row r="101" spans="1:22" x14ac:dyDescent="0.2">
      <c r="A101" t="s">
        <v>53</v>
      </c>
      <c r="B101" t="s">
        <v>54</v>
      </c>
      <c r="C101">
        <v>2005</v>
      </c>
      <c r="D101">
        <v>10</v>
      </c>
      <c r="E101">
        <v>62153</v>
      </c>
      <c r="F101" t="s">
        <v>44</v>
      </c>
    </row>
    <row r="102" spans="1:22" x14ac:dyDescent="0.2">
      <c r="A102" t="s">
        <v>53</v>
      </c>
      <c r="B102" t="s">
        <v>54</v>
      </c>
      <c r="C102">
        <v>2005</v>
      </c>
      <c r="D102">
        <v>11</v>
      </c>
      <c r="E102">
        <v>63590</v>
      </c>
      <c r="F102" t="s">
        <v>15</v>
      </c>
    </row>
    <row r="103" spans="1:22" x14ac:dyDescent="0.2">
      <c r="A103" t="s">
        <v>53</v>
      </c>
      <c r="B103" t="s">
        <v>54</v>
      </c>
      <c r="C103">
        <v>2005</v>
      </c>
      <c r="D103">
        <v>12</v>
      </c>
      <c r="E103">
        <v>69149</v>
      </c>
      <c r="F103" t="s">
        <v>44</v>
      </c>
    </row>
    <row r="104" spans="1:22" x14ac:dyDescent="0.2">
      <c r="A104" t="s">
        <v>53</v>
      </c>
      <c r="B104" t="s">
        <v>54</v>
      </c>
      <c r="C104">
        <v>2005</v>
      </c>
      <c r="D104">
        <v>13</v>
      </c>
      <c r="E104">
        <v>60439</v>
      </c>
      <c r="F104" t="s">
        <v>15</v>
      </c>
    </row>
    <row r="105" spans="1:22" x14ac:dyDescent="0.2">
      <c r="A105" t="s">
        <v>53</v>
      </c>
      <c r="B105" t="s">
        <v>54</v>
      </c>
      <c r="C105">
        <v>2005</v>
      </c>
      <c r="D105">
        <v>14</v>
      </c>
      <c r="E105">
        <v>66690</v>
      </c>
      <c r="F105" t="s">
        <v>44</v>
      </c>
    </row>
    <row r="106" spans="1:22" x14ac:dyDescent="0.2">
      <c r="A106" t="s">
        <v>53</v>
      </c>
      <c r="B106" t="s">
        <v>54</v>
      </c>
      <c r="C106">
        <v>2005</v>
      </c>
      <c r="D106">
        <v>15</v>
      </c>
      <c r="E106">
        <v>64764</v>
      </c>
      <c r="F106" t="s">
        <v>44</v>
      </c>
    </row>
    <row r="107" spans="1:22" x14ac:dyDescent="0.2">
      <c r="A107" t="s">
        <v>53</v>
      </c>
      <c r="B107" t="s">
        <v>54</v>
      </c>
      <c r="C107">
        <v>2005</v>
      </c>
      <c r="D107">
        <v>16</v>
      </c>
      <c r="E107">
        <v>65473</v>
      </c>
      <c r="F107" t="s">
        <v>44</v>
      </c>
    </row>
    <row r="108" spans="1:22" x14ac:dyDescent="0.2">
      <c r="A108" t="s">
        <v>53</v>
      </c>
      <c r="B108" t="s">
        <v>54</v>
      </c>
      <c r="C108">
        <v>2005</v>
      </c>
      <c r="D108">
        <v>17</v>
      </c>
      <c r="E108">
        <v>67970</v>
      </c>
      <c r="F108" t="s">
        <v>15</v>
      </c>
    </row>
    <row r="109" spans="1:22" x14ac:dyDescent="0.2">
      <c r="A109" t="s">
        <v>0</v>
      </c>
      <c r="B109" t="s">
        <v>1</v>
      </c>
      <c r="C109" t="s">
        <v>2</v>
      </c>
      <c r="D109" t="s">
        <v>3</v>
      </c>
      <c r="E109" t="s">
        <v>4</v>
      </c>
      <c r="G109">
        <f>AVERAGEIF(F92:F108,"home",E92:E108)</f>
        <v>65428.25</v>
      </c>
      <c r="P109" t="s">
        <v>0</v>
      </c>
      <c r="Q109" t="s">
        <v>1</v>
      </c>
      <c r="R109" t="s">
        <v>2</v>
      </c>
      <c r="S109" t="s">
        <v>6</v>
      </c>
      <c r="T109" t="s">
        <v>7</v>
      </c>
      <c r="U109" t="s">
        <v>8</v>
      </c>
      <c r="V109" t="s">
        <v>9</v>
      </c>
    </row>
    <row r="110" spans="1:22" x14ac:dyDescent="0.2">
      <c r="A110" t="s">
        <v>53</v>
      </c>
      <c r="B110" t="s">
        <v>54</v>
      </c>
      <c r="C110">
        <v>2006</v>
      </c>
      <c r="D110">
        <v>1</v>
      </c>
      <c r="E110">
        <v>63407</v>
      </c>
      <c r="F110" t="s">
        <v>44</v>
      </c>
    </row>
    <row r="111" spans="1:22" x14ac:dyDescent="0.2">
      <c r="A111" t="s">
        <v>53</v>
      </c>
      <c r="B111" t="s">
        <v>54</v>
      </c>
      <c r="C111">
        <v>2006</v>
      </c>
      <c r="D111">
        <v>2</v>
      </c>
      <c r="E111">
        <v>67791</v>
      </c>
      <c r="F111" t="s">
        <v>15</v>
      </c>
    </row>
    <row r="112" spans="1:22" x14ac:dyDescent="0.2">
      <c r="A112" t="s">
        <v>53</v>
      </c>
      <c r="B112" t="s">
        <v>54</v>
      </c>
      <c r="C112">
        <v>2006</v>
      </c>
      <c r="D112">
        <v>3</v>
      </c>
      <c r="E112">
        <v>68166</v>
      </c>
      <c r="F112" t="s">
        <v>15</v>
      </c>
    </row>
    <row r="113" spans="1:22" x14ac:dyDescent="0.2">
      <c r="A113" t="s">
        <v>53</v>
      </c>
      <c r="B113" t="s">
        <v>54</v>
      </c>
      <c r="C113">
        <v>2006</v>
      </c>
      <c r="D113">
        <v>4</v>
      </c>
      <c r="E113">
        <v>77609</v>
      </c>
      <c r="F113" t="s">
        <v>44</v>
      </c>
    </row>
    <row r="114" spans="1:22" x14ac:dyDescent="0.2">
      <c r="A114" t="s">
        <v>53</v>
      </c>
      <c r="B114" t="s">
        <v>54</v>
      </c>
      <c r="C114">
        <v>2006</v>
      </c>
      <c r="D114">
        <v>5</v>
      </c>
      <c r="E114">
        <v>68368</v>
      </c>
      <c r="F114" t="s">
        <v>15</v>
      </c>
    </row>
    <row r="115" spans="1:22" x14ac:dyDescent="0.2">
      <c r="A115" t="s">
        <v>53</v>
      </c>
      <c r="B115" t="s">
        <v>54</v>
      </c>
      <c r="C115">
        <v>2006</v>
      </c>
      <c r="D115">
        <v>6</v>
      </c>
      <c r="E115">
        <v>68137</v>
      </c>
      <c r="F115" t="s">
        <v>15</v>
      </c>
    </row>
    <row r="116" spans="1:22" x14ac:dyDescent="0.2">
      <c r="A116" t="s">
        <v>53</v>
      </c>
      <c r="B116" t="s">
        <v>54</v>
      </c>
      <c r="C116">
        <v>2006</v>
      </c>
      <c r="D116">
        <v>7</v>
      </c>
      <c r="E116">
        <v>0</v>
      </c>
      <c r="F116" t="s">
        <v>14</v>
      </c>
    </row>
    <row r="117" spans="1:22" x14ac:dyDescent="0.2">
      <c r="A117" t="s">
        <v>53</v>
      </c>
      <c r="B117" t="s">
        <v>54</v>
      </c>
      <c r="C117">
        <v>2006</v>
      </c>
      <c r="D117">
        <v>8</v>
      </c>
      <c r="E117">
        <v>62200</v>
      </c>
      <c r="F117" t="s">
        <v>44</v>
      </c>
      <c r="P117" t="s">
        <v>53</v>
      </c>
      <c r="Q117" t="s">
        <v>54</v>
      </c>
      <c r="R117" t="s">
        <v>26</v>
      </c>
      <c r="S117">
        <v>7</v>
      </c>
      <c r="T117">
        <v>9</v>
      </c>
      <c r="U117" t="s">
        <v>17</v>
      </c>
      <c r="V117" t="s">
        <v>18</v>
      </c>
    </row>
    <row r="118" spans="1:22" x14ac:dyDescent="0.2">
      <c r="A118" t="s">
        <v>53</v>
      </c>
      <c r="B118" t="s">
        <v>54</v>
      </c>
      <c r="C118">
        <v>2006</v>
      </c>
      <c r="D118">
        <v>9</v>
      </c>
      <c r="E118">
        <v>68088</v>
      </c>
      <c r="F118" t="s">
        <v>15</v>
      </c>
    </row>
    <row r="119" spans="1:22" x14ac:dyDescent="0.2">
      <c r="A119" t="s">
        <v>53</v>
      </c>
      <c r="B119" t="s">
        <v>54</v>
      </c>
      <c r="C119">
        <v>2006</v>
      </c>
      <c r="D119">
        <v>10</v>
      </c>
      <c r="E119">
        <v>60707</v>
      </c>
      <c r="F119" t="s">
        <v>44</v>
      </c>
    </row>
    <row r="120" spans="1:22" x14ac:dyDescent="0.2">
      <c r="A120" t="s">
        <v>53</v>
      </c>
      <c r="B120" t="s">
        <v>54</v>
      </c>
      <c r="C120">
        <v>2006</v>
      </c>
      <c r="D120">
        <v>11</v>
      </c>
      <c r="E120">
        <v>68367</v>
      </c>
      <c r="F120" t="s">
        <v>15</v>
      </c>
    </row>
    <row r="121" spans="1:22" x14ac:dyDescent="0.2">
      <c r="A121" t="s">
        <v>53</v>
      </c>
      <c r="B121" t="s">
        <v>54</v>
      </c>
      <c r="C121">
        <v>2006</v>
      </c>
      <c r="D121">
        <v>12</v>
      </c>
      <c r="E121">
        <v>65517</v>
      </c>
      <c r="F121" t="s">
        <v>44</v>
      </c>
    </row>
    <row r="122" spans="1:22" x14ac:dyDescent="0.2">
      <c r="A122" t="s">
        <v>53</v>
      </c>
      <c r="B122" t="s">
        <v>54</v>
      </c>
      <c r="C122">
        <v>2006</v>
      </c>
      <c r="D122">
        <v>13</v>
      </c>
      <c r="E122">
        <v>68241</v>
      </c>
      <c r="F122" t="s">
        <v>44</v>
      </c>
    </row>
    <row r="123" spans="1:22" x14ac:dyDescent="0.2">
      <c r="A123" t="s">
        <v>53</v>
      </c>
      <c r="B123" t="s">
        <v>54</v>
      </c>
      <c r="C123">
        <v>2006</v>
      </c>
      <c r="D123">
        <v>14</v>
      </c>
      <c r="E123">
        <v>68539</v>
      </c>
      <c r="F123" t="s">
        <v>15</v>
      </c>
    </row>
    <row r="124" spans="1:22" x14ac:dyDescent="0.2">
      <c r="A124" t="s">
        <v>53</v>
      </c>
      <c r="B124" t="s">
        <v>54</v>
      </c>
      <c r="C124">
        <v>2006</v>
      </c>
      <c r="D124">
        <v>15</v>
      </c>
      <c r="E124">
        <v>67650</v>
      </c>
      <c r="F124" t="s">
        <v>44</v>
      </c>
    </row>
    <row r="125" spans="1:22" x14ac:dyDescent="0.2">
      <c r="A125" t="s">
        <v>53</v>
      </c>
      <c r="B125" t="s">
        <v>54</v>
      </c>
      <c r="C125">
        <v>2006</v>
      </c>
      <c r="D125">
        <v>16</v>
      </c>
      <c r="E125">
        <v>67751</v>
      </c>
      <c r="F125" t="s">
        <v>15</v>
      </c>
    </row>
    <row r="126" spans="1:22" x14ac:dyDescent="0.2">
      <c r="A126" t="s">
        <v>53</v>
      </c>
      <c r="B126" t="s">
        <v>54</v>
      </c>
      <c r="C126">
        <v>2006</v>
      </c>
      <c r="D126">
        <v>17</v>
      </c>
      <c r="E126">
        <v>75555</v>
      </c>
      <c r="F126" t="s">
        <v>44</v>
      </c>
    </row>
    <row r="127" spans="1:22" x14ac:dyDescent="0.2">
      <c r="A127" t="s">
        <v>0</v>
      </c>
      <c r="B127" t="s">
        <v>1</v>
      </c>
      <c r="C127" t="s">
        <v>2</v>
      </c>
      <c r="D127" t="s">
        <v>3</v>
      </c>
      <c r="E127" t="s">
        <v>4</v>
      </c>
      <c r="G127">
        <f>AVERAGEIF(F110:F126,"home",E110:E126)</f>
        <v>68150.875</v>
      </c>
      <c r="P127" t="s">
        <v>0</v>
      </c>
      <c r="Q127" t="s">
        <v>1</v>
      </c>
      <c r="R127" t="s">
        <v>2</v>
      </c>
      <c r="S127" t="s">
        <v>6</v>
      </c>
      <c r="T127" t="s">
        <v>7</v>
      </c>
      <c r="U127" t="s">
        <v>8</v>
      </c>
      <c r="V127" t="s">
        <v>9</v>
      </c>
    </row>
    <row r="128" spans="1:22" x14ac:dyDescent="0.2">
      <c r="A128" t="s">
        <v>53</v>
      </c>
      <c r="B128" t="s">
        <v>54</v>
      </c>
      <c r="C128">
        <v>2007</v>
      </c>
      <c r="D128">
        <v>1</v>
      </c>
      <c r="E128">
        <v>68111</v>
      </c>
      <c r="F128" t="s">
        <v>15</v>
      </c>
    </row>
    <row r="129" spans="1:22" x14ac:dyDescent="0.2">
      <c r="A129" t="s">
        <v>53</v>
      </c>
      <c r="B129" t="s">
        <v>54</v>
      </c>
      <c r="C129">
        <v>2007</v>
      </c>
      <c r="D129">
        <v>2</v>
      </c>
      <c r="E129">
        <v>65295</v>
      </c>
      <c r="F129" t="s">
        <v>44</v>
      </c>
    </row>
    <row r="130" spans="1:22" x14ac:dyDescent="0.2">
      <c r="A130" t="s">
        <v>53</v>
      </c>
      <c r="B130" t="s">
        <v>54</v>
      </c>
      <c r="C130">
        <v>2007</v>
      </c>
      <c r="D130">
        <v>3</v>
      </c>
      <c r="E130">
        <v>64313</v>
      </c>
      <c r="F130" t="s">
        <v>44</v>
      </c>
    </row>
    <row r="131" spans="1:22" x14ac:dyDescent="0.2">
      <c r="A131" t="s">
        <v>53</v>
      </c>
      <c r="B131" t="s">
        <v>54</v>
      </c>
      <c r="C131">
        <v>2007</v>
      </c>
      <c r="D131">
        <v>4</v>
      </c>
      <c r="E131">
        <v>67651</v>
      </c>
      <c r="F131" t="s">
        <v>15</v>
      </c>
    </row>
    <row r="132" spans="1:22" x14ac:dyDescent="0.2">
      <c r="A132" t="s">
        <v>53</v>
      </c>
      <c r="B132" t="s">
        <v>54</v>
      </c>
      <c r="C132">
        <v>2007</v>
      </c>
      <c r="D132">
        <v>5</v>
      </c>
      <c r="E132">
        <v>67885</v>
      </c>
      <c r="F132" t="s">
        <v>15</v>
      </c>
    </row>
    <row r="133" spans="1:22" x14ac:dyDescent="0.2">
      <c r="A133" t="s">
        <v>53</v>
      </c>
      <c r="B133" t="s">
        <v>54</v>
      </c>
      <c r="C133">
        <v>2007</v>
      </c>
      <c r="D133">
        <v>6</v>
      </c>
      <c r="E133">
        <v>0</v>
      </c>
      <c r="F133" t="s">
        <v>14</v>
      </c>
    </row>
    <row r="134" spans="1:22" x14ac:dyDescent="0.2">
      <c r="A134" t="s">
        <v>53</v>
      </c>
      <c r="B134" t="s">
        <v>54</v>
      </c>
      <c r="C134">
        <v>2007</v>
      </c>
      <c r="D134">
        <v>7</v>
      </c>
      <c r="E134">
        <v>78912</v>
      </c>
      <c r="F134" t="s">
        <v>44</v>
      </c>
    </row>
    <row r="135" spans="1:22" x14ac:dyDescent="0.2">
      <c r="A135" t="s">
        <v>53</v>
      </c>
      <c r="B135" t="s">
        <v>54</v>
      </c>
      <c r="C135">
        <v>2007</v>
      </c>
      <c r="D135">
        <v>8</v>
      </c>
      <c r="E135">
        <v>68244</v>
      </c>
      <c r="F135" t="s">
        <v>15</v>
      </c>
      <c r="P135" t="s">
        <v>53</v>
      </c>
      <c r="Q135" t="s">
        <v>54</v>
      </c>
      <c r="R135" t="s">
        <v>27</v>
      </c>
      <c r="S135">
        <v>5</v>
      </c>
      <c r="T135">
        <v>11</v>
      </c>
      <c r="U135" t="s">
        <v>17</v>
      </c>
      <c r="V135" t="s">
        <v>18</v>
      </c>
    </row>
    <row r="136" spans="1:22" x14ac:dyDescent="0.2">
      <c r="A136" t="s">
        <v>53</v>
      </c>
      <c r="B136" t="s">
        <v>54</v>
      </c>
      <c r="C136">
        <v>2007</v>
      </c>
      <c r="D136">
        <v>9</v>
      </c>
      <c r="E136">
        <v>66049</v>
      </c>
      <c r="F136" t="s">
        <v>44</v>
      </c>
    </row>
    <row r="137" spans="1:22" x14ac:dyDescent="0.2">
      <c r="A137" t="s">
        <v>53</v>
      </c>
      <c r="B137" t="s">
        <v>54</v>
      </c>
      <c r="C137">
        <v>2007</v>
      </c>
      <c r="D137">
        <v>10</v>
      </c>
      <c r="E137">
        <v>68331</v>
      </c>
      <c r="F137" t="s">
        <v>44</v>
      </c>
    </row>
    <row r="138" spans="1:22" x14ac:dyDescent="0.2">
      <c r="A138" t="s">
        <v>53</v>
      </c>
      <c r="B138" t="s">
        <v>54</v>
      </c>
      <c r="C138">
        <v>2007</v>
      </c>
      <c r="D138">
        <v>11</v>
      </c>
      <c r="E138">
        <v>68039</v>
      </c>
      <c r="F138" t="s">
        <v>15</v>
      </c>
    </row>
    <row r="139" spans="1:22" x14ac:dyDescent="0.2">
      <c r="A139" t="s">
        <v>53</v>
      </c>
      <c r="B139" t="s">
        <v>54</v>
      </c>
      <c r="C139">
        <v>2007</v>
      </c>
      <c r="D139">
        <v>12</v>
      </c>
      <c r="E139">
        <v>64483</v>
      </c>
      <c r="F139" t="s">
        <v>44</v>
      </c>
    </row>
    <row r="140" spans="1:22" x14ac:dyDescent="0.2">
      <c r="A140" t="s">
        <v>53</v>
      </c>
      <c r="B140" t="s">
        <v>54</v>
      </c>
      <c r="C140">
        <v>2007</v>
      </c>
      <c r="D140">
        <v>13</v>
      </c>
      <c r="E140">
        <v>73191</v>
      </c>
      <c r="F140" t="s">
        <v>44</v>
      </c>
    </row>
    <row r="141" spans="1:22" x14ac:dyDescent="0.2">
      <c r="A141" t="s">
        <v>53</v>
      </c>
      <c r="B141" t="s">
        <v>54</v>
      </c>
      <c r="C141">
        <v>2007</v>
      </c>
      <c r="D141">
        <v>14</v>
      </c>
      <c r="E141">
        <v>68050</v>
      </c>
      <c r="F141" t="s">
        <v>15</v>
      </c>
    </row>
    <row r="142" spans="1:22" x14ac:dyDescent="0.2">
      <c r="A142" t="s">
        <v>53</v>
      </c>
      <c r="B142" t="s">
        <v>54</v>
      </c>
      <c r="C142">
        <v>2007</v>
      </c>
      <c r="D142">
        <v>15</v>
      </c>
      <c r="E142">
        <v>68053</v>
      </c>
      <c r="F142" t="s">
        <v>15</v>
      </c>
    </row>
    <row r="143" spans="1:22" x14ac:dyDescent="0.2">
      <c r="A143" t="s">
        <v>53</v>
      </c>
      <c r="B143" t="s">
        <v>54</v>
      </c>
      <c r="C143">
        <v>2007</v>
      </c>
      <c r="D143">
        <v>16</v>
      </c>
      <c r="E143">
        <v>68193</v>
      </c>
      <c r="F143" t="s">
        <v>15</v>
      </c>
    </row>
    <row r="144" spans="1:22" x14ac:dyDescent="0.2">
      <c r="A144" t="s">
        <v>53</v>
      </c>
      <c r="B144" t="s">
        <v>54</v>
      </c>
      <c r="C144">
        <v>2007</v>
      </c>
      <c r="D144">
        <v>17</v>
      </c>
      <c r="E144">
        <v>73041</v>
      </c>
      <c r="F144" t="s">
        <v>44</v>
      </c>
    </row>
    <row r="145" spans="1:22" x14ac:dyDescent="0.2">
      <c r="A145" t="s">
        <v>0</v>
      </c>
      <c r="B145" t="s">
        <v>1</v>
      </c>
      <c r="C145" t="s">
        <v>2</v>
      </c>
      <c r="D145" t="s">
        <v>3</v>
      </c>
      <c r="E145" t="s">
        <v>4</v>
      </c>
      <c r="G145">
        <f>AVERAGEIF(F128:F144,"home",E128:E144)</f>
        <v>68028.25</v>
      </c>
      <c r="P145" t="s">
        <v>0</v>
      </c>
      <c r="Q145" t="s">
        <v>1</v>
      </c>
      <c r="R145" t="s">
        <v>2</v>
      </c>
      <c r="S145" t="s">
        <v>6</v>
      </c>
      <c r="T145" t="s">
        <v>7</v>
      </c>
      <c r="U145" t="s">
        <v>8</v>
      </c>
      <c r="V145" t="s">
        <v>9</v>
      </c>
    </row>
    <row r="146" spans="1:22" x14ac:dyDescent="0.2">
      <c r="A146" t="s">
        <v>53</v>
      </c>
      <c r="B146" t="s">
        <v>54</v>
      </c>
      <c r="C146">
        <v>2008</v>
      </c>
      <c r="D146">
        <v>1</v>
      </c>
      <c r="E146">
        <v>67186</v>
      </c>
      <c r="F146" t="s">
        <v>15</v>
      </c>
    </row>
    <row r="147" spans="1:22" x14ac:dyDescent="0.2">
      <c r="A147" t="s">
        <v>53</v>
      </c>
      <c r="B147" t="s">
        <v>54</v>
      </c>
      <c r="C147">
        <v>2008</v>
      </c>
      <c r="D147">
        <v>2</v>
      </c>
      <c r="E147">
        <v>67951</v>
      </c>
      <c r="F147" t="s">
        <v>44</v>
      </c>
    </row>
    <row r="148" spans="1:22" x14ac:dyDescent="0.2">
      <c r="A148" t="s">
        <v>53</v>
      </c>
      <c r="B148" t="s">
        <v>54</v>
      </c>
      <c r="C148">
        <v>2008</v>
      </c>
      <c r="D148">
        <v>3</v>
      </c>
      <c r="E148">
        <v>67249</v>
      </c>
      <c r="F148" t="s">
        <v>15</v>
      </c>
    </row>
    <row r="149" spans="1:22" x14ac:dyDescent="0.2">
      <c r="A149" t="s">
        <v>53</v>
      </c>
      <c r="B149" t="s">
        <v>54</v>
      </c>
      <c r="C149">
        <v>2008</v>
      </c>
      <c r="D149">
        <v>4</v>
      </c>
      <c r="E149">
        <v>70008</v>
      </c>
      <c r="F149" t="s">
        <v>44</v>
      </c>
    </row>
    <row r="150" spans="1:22" x14ac:dyDescent="0.2">
      <c r="A150" t="s">
        <v>53</v>
      </c>
      <c r="B150" t="s">
        <v>54</v>
      </c>
      <c r="C150">
        <v>2008</v>
      </c>
      <c r="D150">
        <v>5</v>
      </c>
      <c r="E150">
        <v>67650</v>
      </c>
      <c r="F150" t="s">
        <v>15</v>
      </c>
    </row>
    <row r="151" spans="1:22" x14ac:dyDescent="0.2">
      <c r="A151" t="s">
        <v>53</v>
      </c>
      <c r="B151" t="s">
        <v>54</v>
      </c>
      <c r="C151">
        <v>2008</v>
      </c>
      <c r="D151">
        <v>6</v>
      </c>
      <c r="E151">
        <v>67640</v>
      </c>
      <c r="F151" t="s">
        <v>15</v>
      </c>
    </row>
    <row r="152" spans="1:22" x14ac:dyDescent="0.2">
      <c r="A152" t="s">
        <v>53</v>
      </c>
      <c r="B152" t="s">
        <v>54</v>
      </c>
      <c r="C152">
        <v>2008</v>
      </c>
      <c r="D152">
        <v>7</v>
      </c>
      <c r="E152">
        <v>78676</v>
      </c>
      <c r="F152" t="s">
        <v>44</v>
      </c>
    </row>
    <row r="153" spans="1:22" x14ac:dyDescent="0.2">
      <c r="A153" t="s">
        <v>53</v>
      </c>
      <c r="B153" t="s">
        <v>54</v>
      </c>
      <c r="C153">
        <v>2008</v>
      </c>
      <c r="D153">
        <v>8</v>
      </c>
      <c r="E153">
        <v>67504</v>
      </c>
      <c r="F153" t="s">
        <v>15</v>
      </c>
      <c r="P153" t="s">
        <v>53</v>
      </c>
      <c r="Q153" t="s">
        <v>54</v>
      </c>
      <c r="R153" t="s">
        <v>28</v>
      </c>
      <c r="S153">
        <v>7</v>
      </c>
      <c r="T153">
        <v>9</v>
      </c>
      <c r="U153" t="s">
        <v>17</v>
      </c>
      <c r="V153" t="s">
        <v>18</v>
      </c>
    </row>
    <row r="154" spans="1:22" x14ac:dyDescent="0.2">
      <c r="A154" t="s">
        <v>53</v>
      </c>
      <c r="B154" t="s">
        <v>54</v>
      </c>
      <c r="C154">
        <v>2008</v>
      </c>
      <c r="D154">
        <v>9</v>
      </c>
      <c r="E154">
        <v>0</v>
      </c>
      <c r="F154" t="s">
        <v>14</v>
      </c>
    </row>
    <row r="155" spans="1:22" x14ac:dyDescent="0.2">
      <c r="A155" t="s">
        <v>53</v>
      </c>
      <c r="B155" t="s">
        <v>54</v>
      </c>
      <c r="C155">
        <v>2008</v>
      </c>
      <c r="D155">
        <v>10</v>
      </c>
      <c r="E155">
        <v>64519</v>
      </c>
      <c r="F155" t="s">
        <v>44</v>
      </c>
    </row>
    <row r="156" spans="1:22" x14ac:dyDescent="0.2">
      <c r="A156" t="s">
        <v>53</v>
      </c>
      <c r="B156" t="s">
        <v>54</v>
      </c>
      <c r="C156">
        <v>2008</v>
      </c>
      <c r="D156">
        <v>11</v>
      </c>
      <c r="E156">
        <v>67573</v>
      </c>
      <c r="F156" t="s">
        <v>15</v>
      </c>
    </row>
    <row r="157" spans="1:22" x14ac:dyDescent="0.2">
      <c r="A157" t="s">
        <v>53</v>
      </c>
      <c r="B157" t="s">
        <v>54</v>
      </c>
      <c r="C157">
        <v>2008</v>
      </c>
      <c r="D157">
        <v>12</v>
      </c>
      <c r="E157">
        <v>63272</v>
      </c>
      <c r="F157" t="s">
        <v>44</v>
      </c>
    </row>
    <row r="158" spans="1:22" x14ac:dyDescent="0.2">
      <c r="A158" t="s">
        <v>53</v>
      </c>
      <c r="B158" t="s">
        <v>54</v>
      </c>
      <c r="C158">
        <v>2008</v>
      </c>
      <c r="D158">
        <v>13</v>
      </c>
      <c r="E158">
        <v>70988</v>
      </c>
      <c r="F158" t="s">
        <v>44</v>
      </c>
    </row>
    <row r="159" spans="1:22" x14ac:dyDescent="0.2">
      <c r="A159" t="s">
        <v>53</v>
      </c>
      <c r="B159" t="s">
        <v>54</v>
      </c>
      <c r="C159">
        <v>2008</v>
      </c>
      <c r="D159">
        <v>14</v>
      </c>
      <c r="E159">
        <v>67782</v>
      </c>
      <c r="F159" t="s">
        <v>15</v>
      </c>
    </row>
    <row r="160" spans="1:22" x14ac:dyDescent="0.2">
      <c r="A160" t="s">
        <v>53</v>
      </c>
      <c r="B160" t="s">
        <v>54</v>
      </c>
      <c r="C160">
        <v>2008</v>
      </c>
      <c r="D160">
        <v>15</v>
      </c>
      <c r="E160">
        <v>65893</v>
      </c>
      <c r="F160" t="s">
        <v>44</v>
      </c>
    </row>
    <row r="161" spans="1:22" x14ac:dyDescent="0.2">
      <c r="A161" t="s">
        <v>53</v>
      </c>
      <c r="B161" t="s">
        <v>54</v>
      </c>
      <c r="C161">
        <v>2008</v>
      </c>
      <c r="D161">
        <v>16</v>
      </c>
      <c r="E161">
        <v>54948</v>
      </c>
      <c r="F161" t="s">
        <v>44</v>
      </c>
    </row>
    <row r="162" spans="1:22" x14ac:dyDescent="0.2">
      <c r="A162" t="s">
        <v>53</v>
      </c>
      <c r="B162" t="s">
        <v>54</v>
      </c>
      <c r="C162">
        <v>2008</v>
      </c>
      <c r="D162">
        <v>17</v>
      </c>
      <c r="E162">
        <v>67519</v>
      </c>
      <c r="F162" t="s">
        <v>15</v>
      </c>
    </row>
    <row r="163" spans="1:22" x14ac:dyDescent="0.2">
      <c r="A163" t="s">
        <v>0</v>
      </c>
      <c r="B163" t="s">
        <v>1</v>
      </c>
      <c r="C163" t="s">
        <v>2</v>
      </c>
      <c r="D163" t="s">
        <v>3</v>
      </c>
      <c r="E163" t="s">
        <v>4</v>
      </c>
      <c r="G163">
        <f>AVERAGEIF(F146:F162,"home",E146:E162)</f>
        <v>67512.875</v>
      </c>
      <c r="P163" t="s">
        <v>0</v>
      </c>
      <c r="Q163" t="s">
        <v>1</v>
      </c>
      <c r="R163" t="s">
        <v>2</v>
      </c>
      <c r="S163" t="s">
        <v>6</v>
      </c>
      <c r="T163" t="s">
        <v>7</v>
      </c>
      <c r="U163" t="s">
        <v>8</v>
      </c>
      <c r="V163" t="s">
        <v>9</v>
      </c>
    </row>
    <row r="164" spans="1:22" x14ac:dyDescent="0.2">
      <c r="A164" t="s">
        <v>53</v>
      </c>
      <c r="B164" t="s">
        <v>54</v>
      </c>
      <c r="C164">
        <v>2009</v>
      </c>
      <c r="D164">
        <v>1</v>
      </c>
      <c r="E164">
        <v>61981</v>
      </c>
      <c r="F164" t="s">
        <v>44</v>
      </c>
    </row>
    <row r="165" spans="1:22" x14ac:dyDescent="0.2">
      <c r="A165" t="s">
        <v>53</v>
      </c>
      <c r="B165" t="s">
        <v>54</v>
      </c>
      <c r="C165">
        <v>2009</v>
      </c>
      <c r="D165">
        <v>2</v>
      </c>
      <c r="E165">
        <v>69732</v>
      </c>
      <c r="F165" t="s">
        <v>15</v>
      </c>
    </row>
    <row r="166" spans="1:22" x14ac:dyDescent="0.2">
      <c r="A166" t="s">
        <v>53</v>
      </c>
      <c r="B166" t="s">
        <v>54</v>
      </c>
      <c r="C166">
        <v>2009</v>
      </c>
      <c r="D166">
        <v>3</v>
      </c>
      <c r="E166">
        <v>63398</v>
      </c>
      <c r="F166" t="s">
        <v>44</v>
      </c>
    </row>
    <row r="167" spans="1:22" x14ac:dyDescent="0.2">
      <c r="A167" t="s">
        <v>53</v>
      </c>
      <c r="B167" t="s">
        <v>54</v>
      </c>
      <c r="C167">
        <v>2009</v>
      </c>
      <c r="D167">
        <v>4</v>
      </c>
      <c r="E167">
        <v>69732</v>
      </c>
      <c r="F167" t="s">
        <v>15</v>
      </c>
    </row>
    <row r="168" spans="1:22" x14ac:dyDescent="0.2">
      <c r="A168" t="s">
        <v>53</v>
      </c>
      <c r="B168" t="s">
        <v>54</v>
      </c>
      <c r="C168">
        <v>2009</v>
      </c>
      <c r="D168">
        <v>5</v>
      </c>
      <c r="E168">
        <v>69732</v>
      </c>
      <c r="F168" t="s">
        <v>15</v>
      </c>
    </row>
    <row r="169" spans="1:22" x14ac:dyDescent="0.2">
      <c r="A169" t="s">
        <v>53</v>
      </c>
      <c r="B169" t="s">
        <v>54</v>
      </c>
      <c r="C169">
        <v>2009</v>
      </c>
      <c r="D169">
        <v>6</v>
      </c>
      <c r="E169">
        <v>0</v>
      </c>
      <c r="F169" t="s">
        <v>14</v>
      </c>
    </row>
    <row r="170" spans="1:22" x14ac:dyDescent="0.2">
      <c r="A170" t="s">
        <v>53</v>
      </c>
      <c r="B170" t="s">
        <v>54</v>
      </c>
      <c r="C170">
        <v>2009</v>
      </c>
      <c r="D170">
        <v>7</v>
      </c>
      <c r="E170">
        <v>70820</v>
      </c>
      <c r="F170" t="s">
        <v>44</v>
      </c>
    </row>
    <row r="171" spans="1:22" x14ac:dyDescent="0.2">
      <c r="A171" t="s">
        <v>53</v>
      </c>
      <c r="B171" t="s">
        <v>54</v>
      </c>
      <c r="C171">
        <v>2009</v>
      </c>
      <c r="D171">
        <v>8</v>
      </c>
      <c r="E171">
        <v>66229</v>
      </c>
      <c r="F171" t="s">
        <v>44</v>
      </c>
      <c r="P171" t="s">
        <v>53</v>
      </c>
      <c r="Q171" t="s">
        <v>54</v>
      </c>
      <c r="R171" t="s">
        <v>31</v>
      </c>
      <c r="S171">
        <v>8</v>
      </c>
      <c r="T171">
        <v>8</v>
      </c>
      <c r="U171" t="s">
        <v>17</v>
      </c>
      <c r="V171" t="s">
        <v>18</v>
      </c>
    </row>
    <row r="172" spans="1:22" x14ac:dyDescent="0.2">
      <c r="A172" t="s">
        <v>53</v>
      </c>
      <c r="B172" t="s">
        <v>54</v>
      </c>
      <c r="C172">
        <v>2009</v>
      </c>
      <c r="D172">
        <v>9</v>
      </c>
      <c r="E172">
        <v>69732</v>
      </c>
      <c r="F172" t="s">
        <v>15</v>
      </c>
    </row>
    <row r="173" spans="1:22" x14ac:dyDescent="0.2">
      <c r="A173" t="s">
        <v>53</v>
      </c>
      <c r="B173" t="s">
        <v>54</v>
      </c>
      <c r="C173">
        <v>2009</v>
      </c>
      <c r="D173">
        <v>10</v>
      </c>
      <c r="E173">
        <v>69732</v>
      </c>
      <c r="F173" t="s">
        <v>15</v>
      </c>
    </row>
    <row r="174" spans="1:22" x14ac:dyDescent="0.2">
      <c r="A174" t="s">
        <v>53</v>
      </c>
      <c r="B174" t="s">
        <v>54</v>
      </c>
      <c r="C174">
        <v>2009</v>
      </c>
      <c r="D174">
        <v>11</v>
      </c>
      <c r="E174">
        <v>70445</v>
      </c>
      <c r="F174" t="s">
        <v>44</v>
      </c>
    </row>
    <row r="175" spans="1:22" x14ac:dyDescent="0.2">
      <c r="A175" t="s">
        <v>53</v>
      </c>
      <c r="B175" t="s">
        <v>54</v>
      </c>
      <c r="C175">
        <v>2009</v>
      </c>
      <c r="D175">
        <v>12</v>
      </c>
      <c r="E175">
        <v>69732</v>
      </c>
      <c r="F175" t="s">
        <v>15</v>
      </c>
    </row>
    <row r="176" spans="1:22" x14ac:dyDescent="0.2">
      <c r="A176" t="s">
        <v>53</v>
      </c>
      <c r="B176" t="s">
        <v>54</v>
      </c>
      <c r="C176">
        <v>2009</v>
      </c>
      <c r="D176">
        <v>13</v>
      </c>
      <c r="E176">
        <v>67761</v>
      </c>
      <c r="F176" t="s">
        <v>44</v>
      </c>
    </row>
    <row r="177" spans="1:22" x14ac:dyDescent="0.2">
      <c r="A177" t="s">
        <v>53</v>
      </c>
      <c r="B177" t="s">
        <v>54</v>
      </c>
      <c r="C177">
        <v>2009</v>
      </c>
      <c r="D177">
        <v>14</v>
      </c>
      <c r="E177">
        <v>69732</v>
      </c>
      <c r="F177" t="s">
        <v>15</v>
      </c>
    </row>
    <row r="178" spans="1:22" x14ac:dyDescent="0.2">
      <c r="A178" t="s">
        <v>53</v>
      </c>
      <c r="B178" t="s">
        <v>54</v>
      </c>
      <c r="C178">
        <v>2009</v>
      </c>
      <c r="D178">
        <v>15</v>
      </c>
      <c r="E178">
        <v>69144</v>
      </c>
      <c r="F178" t="s">
        <v>44</v>
      </c>
    </row>
    <row r="179" spans="1:22" x14ac:dyDescent="0.2">
      <c r="A179" t="s">
        <v>53</v>
      </c>
      <c r="B179" t="s">
        <v>54</v>
      </c>
      <c r="C179">
        <v>2009</v>
      </c>
      <c r="D179">
        <v>16</v>
      </c>
      <c r="E179">
        <v>69732</v>
      </c>
      <c r="F179" t="s">
        <v>15</v>
      </c>
    </row>
    <row r="180" spans="1:22" x14ac:dyDescent="0.2">
      <c r="A180" t="s">
        <v>53</v>
      </c>
      <c r="B180" t="s">
        <v>54</v>
      </c>
      <c r="C180">
        <v>2009</v>
      </c>
      <c r="D180">
        <v>17</v>
      </c>
      <c r="E180">
        <v>47965</v>
      </c>
      <c r="F180" t="s">
        <v>44</v>
      </c>
    </row>
    <row r="181" spans="1:22" x14ac:dyDescent="0.2">
      <c r="A181" t="s">
        <v>0</v>
      </c>
      <c r="B181" t="s">
        <v>1</v>
      </c>
      <c r="C181" t="s">
        <v>2</v>
      </c>
      <c r="D181" t="s">
        <v>3</v>
      </c>
      <c r="E181" t="s">
        <v>4</v>
      </c>
      <c r="G181">
        <f>AVERAGEIF(F164:F180,"home",E164:E180)</f>
        <v>69732</v>
      </c>
      <c r="P181" t="s">
        <v>0</v>
      </c>
      <c r="Q181" t="s">
        <v>1</v>
      </c>
      <c r="R181" t="s">
        <v>2</v>
      </c>
      <c r="S181" t="s">
        <v>6</v>
      </c>
      <c r="T181" t="s">
        <v>7</v>
      </c>
      <c r="U181" t="s">
        <v>8</v>
      </c>
      <c r="V181" t="s">
        <v>9</v>
      </c>
    </row>
    <row r="182" spans="1:22" x14ac:dyDescent="0.2">
      <c r="A182" t="s">
        <v>53</v>
      </c>
      <c r="B182" t="s">
        <v>54</v>
      </c>
      <c r="C182">
        <v>2010</v>
      </c>
      <c r="D182">
        <v>1</v>
      </c>
      <c r="E182">
        <v>67044</v>
      </c>
      <c r="F182" t="s">
        <v>44</v>
      </c>
    </row>
    <row r="183" spans="1:22" x14ac:dyDescent="0.2">
      <c r="A183" t="s">
        <v>53</v>
      </c>
      <c r="B183" t="s">
        <v>54</v>
      </c>
      <c r="C183">
        <v>2010</v>
      </c>
      <c r="D183">
        <v>2</v>
      </c>
      <c r="E183">
        <v>69732</v>
      </c>
      <c r="F183" t="s">
        <v>15</v>
      </c>
    </row>
    <row r="184" spans="1:22" x14ac:dyDescent="0.2">
      <c r="A184" t="s">
        <v>53</v>
      </c>
      <c r="B184" t="s">
        <v>54</v>
      </c>
      <c r="C184">
        <v>2010</v>
      </c>
      <c r="D184">
        <v>3</v>
      </c>
      <c r="E184">
        <v>68188</v>
      </c>
      <c r="F184" t="s">
        <v>44</v>
      </c>
    </row>
    <row r="185" spans="1:22" x14ac:dyDescent="0.2">
      <c r="A185" t="s">
        <v>53</v>
      </c>
      <c r="B185" t="s">
        <v>54</v>
      </c>
      <c r="C185">
        <v>2010</v>
      </c>
      <c r="D185">
        <v>4</v>
      </c>
      <c r="E185">
        <v>66874</v>
      </c>
      <c r="F185" t="s">
        <v>44</v>
      </c>
    </row>
    <row r="186" spans="1:22" x14ac:dyDescent="0.2">
      <c r="A186" t="s">
        <v>53</v>
      </c>
      <c r="B186" t="s">
        <v>54</v>
      </c>
      <c r="C186">
        <v>2010</v>
      </c>
      <c r="D186">
        <v>5</v>
      </c>
      <c r="E186">
        <v>69732</v>
      </c>
      <c r="F186" t="s">
        <v>15</v>
      </c>
    </row>
    <row r="187" spans="1:22" x14ac:dyDescent="0.2">
      <c r="A187" t="s">
        <v>53</v>
      </c>
      <c r="B187" t="s">
        <v>54</v>
      </c>
      <c r="C187">
        <v>2010</v>
      </c>
      <c r="D187">
        <v>6</v>
      </c>
      <c r="E187">
        <v>69732</v>
      </c>
      <c r="F187" t="s">
        <v>15</v>
      </c>
    </row>
    <row r="188" spans="1:22" x14ac:dyDescent="0.2">
      <c r="A188" t="s">
        <v>53</v>
      </c>
      <c r="B188" t="s">
        <v>54</v>
      </c>
      <c r="C188">
        <v>2010</v>
      </c>
      <c r="D188">
        <v>7</v>
      </c>
      <c r="E188">
        <v>72741</v>
      </c>
      <c r="F188" t="s">
        <v>44</v>
      </c>
    </row>
    <row r="189" spans="1:22" x14ac:dyDescent="0.2">
      <c r="A189" t="s">
        <v>53</v>
      </c>
      <c r="B189" t="s">
        <v>54</v>
      </c>
      <c r="C189">
        <v>2010</v>
      </c>
      <c r="D189">
        <v>8</v>
      </c>
      <c r="E189">
        <v>83941</v>
      </c>
      <c r="F189" t="s">
        <v>15</v>
      </c>
      <c r="P189" t="s">
        <v>53</v>
      </c>
      <c r="Q189" t="s">
        <v>54</v>
      </c>
      <c r="R189" t="s">
        <v>32</v>
      </c>
      <c r="S189">
        <v>6</v>
      </c>
      <c r="T189">
        <v>10</v>
      </c>
      <c r="U189" t="s">
        <v>17</v>
      </c>
      <c r="V189" t="s">
        <v>18</v>
      </c>
    </row>
    <row r="190" spans="1:22" x14ac:dyDescent="0.2">
      <c r="A190" t="s">
        <v>53</v>
      </c>
      <c r="B190" t="s">
        <v>54</v>
      </c>
      <c r="C190">
        <v>2010</v>
      </c>
      <c r="D190">
        <v>9</v>
      </c>
      <c r="E190">
        <v>0</v>
      </c>
      <c r="F190" t="s">
        <v>14</v>
      </c>
    </row>
    <row r="191" spans="1:22" x14ac:dyDescent="0.2">
      <c r="A191" t="s">
        <v>53</v>
      </c>
      <c r="B191" t="s">
        <v>54</v>
      </c>
      <c r="C191">
        <v>2010</v>
      </c>
      <c r="D191">
        <v>10</v>
      </c>
      <c r="E191">
        <v>69732</v>
      </c>
      <c r="F191" t="s">
        <v>15</v>
      </c>
    </row>
    <row r="192" spans="1:22" x14ac:dyDescent="0.2">
      <c r="A192" t="s">
        <v>53</v>
      </c>
      <c r="B192" t="s">
        <v>54</v>
      </c>
      <c r="C192">
        <v>2010</v>
      </c>
      <c r="D192">
        <v>11</v>
      </c>
      <c r="E192">
        <v>69732</v>
      </c>
      <c r="F192" t="s">
        <v>15</v>
      </c>
    </row>
    <row r="193" spans="1:22" x14ac:dyDescent="0.2">
      <c r="A193" t="s">
        <v>53</v>
      </c>
      <c r="B193" t="s">
        <v>54</v>
      </c>
      <c r="C193">
        <v>2010</v>
      </c>
      <c r="D193">
        <v>12</v>
      </c>
      <c r="E193">
        <v>62308</v>
      </c>
      <c r="F193" t="s">
        <v>44</v>
      </c>
    </row>
    <row r="194" spans="1:22" x14ac:dyDescent="0.2">
      <c r="A194" t="s">
        <v>53</v>
      </c>
      <c r="B194" t="s">
        <v>54</v>
      </c>
      <c r="C194">
        <v>2010</v>
      </c>
      <c r="D194">
        <v>13</v>
      </c>
      <c r="E194">
        <v>70575</v>
      </c>
      <c r="F194" t="s">
        <v>44</v>
      </c>
    </row>
    <row r="195" spans="1:22" x14ac:dyDescent="0.2">
      <c r="A195" t="s">
        <v>53</v>
      </c>
      <c r="B195" t="s">
        <v>54</v>
      </c>
      <c r="C195">
        <v>2010</v>
      </c>
      <c r="D195">
        <v>14</v>
      </c>
      <c r="E195">
        <v>69732</v>
      </c>
      <c r="F195" t="s">
        <v>15</v>
      </c>
    </row>
    <row r="196" spans="1:22" x14ac:dyDescent="0.2">
      <c r="A196" t="s">
        <v>53</v>
      </c>
      <c r="B196" t="s">
        <v>54</v>
      </c>
      <c r="C196">
        <v>2010</v>
      </c>
      <c r="D196">
        <v>15</v>
      </c>
      <c r="E196">
        <v>67820</v>
      </c>
      <c r="F196" t="s">
        <v>44</v>
      </c>
    </row>
    <row r="197" spans="1:22" x14ac:dyDescent="0.2">
      <c r="A197" t="s">
        <v>53</v>
      </c>
      <c r="B197" t="s">
        <v>54</v>
      </c>
      <c r="C197">
        <v>2010</v>
      </c>
      <c r="D197">
        <v>16</v>
      </c>
      <c r="E197">
        <v>52820</v>
      </c>
      <c r="F197" t="s">
        <v>44</v>
      </c>
    </row>
    <row r="198" spans="1:22" x14ac:dyDescent="0.2">
      <c r="A198" t="s">
        <v>53</v>
      </c>
      <c r="B198" t="s">
        <v>54</v>
      </c>
      <c r="C198">
        <v>2010</v>
      </c>
      <c r="D198">
        <v>17</v>
      </c>
      <c r="E198">
        <v>69732</v>
      </c>
      <c r="F198" t="s">
        <v>15</v>
      </c>
    </row>
    <row r="199" spans="1:22" x14ac:dyDescent="0.2">
      <c r="A199" t="s">
        <v>0</v>
      </c>
      <c r="B199" t="s">
        <v>1</v>
      </c>
      <c r="C199" t="s">
        <v>2</v>
      </c>
      <c r="D199" t="s">
        <v>3</v>
      </c>
      <c r="E199" t="s">
        <v>4</v>
      </c>
      <c r="G199">
        <f>AVERAGEIF(F182:F198,"home",E182:E198)</f>
        <v>71508.125</v>
      </c>
      <c r="P199" t="s">
        <v>0</v>
      </c>
      <c r="Q199" t="s">
        <v>1</v>
      </c>
      <c r="R199" t="s">
        <v>2</v>
      </c>
      <c r="S199" t="s">
        <v>6</v>
      </c>
      <c r="T199" t="s">
        <v>7</v>
      </c>
      <c r="U199" t="s">
        <v>8</v>
      </c>
      <c r="V199" t="s">
        <v>9</v>
      </c>
    </row>
    <row r="200" spans="1:22" x14ac:dyDescent="0.2">
      <c r="A200" t="s">
        <v>53</v>
      </c>
      <c r="B200" t="s">
        <v>54</v>
      </c>
      <c r="C200">
        <v>2011</v>
      </c>
      <c r="D200">
        <v>1</v>
      </c>
      <c r="E200">
        <v>69732</v>
      </c>
      <c r="F200" t="s">
        <v>15</v>
      </c>
    </row>
    <row r="201" spans="1:22" x14ac:dyDescent="0.2">
      <c r="A201" t="s">
        <v>53</v>
      </c>
      <c r="B201" t="s">
        <v>54</v>
      </c>
      <c r="C201">
        <v>2011</v>
      </c>
      <c r="D201">
        <v>2</v>
      </c>
      <c r="E201">
        <v>69732</v>
      </c>
      <c r="F201" t="s">
        <v>15</v>
      </c>
    </row>
    <row r="202" spans="1:22" x14ac:dyDescent="0.2">
      <c r="A202" t="s">
        <v>53</v>
      </c>
      <c r="B202" t="s">
        <v>54</v>
      </c>
      <c r="C202">
        <v>2011</v>
      </c>
      <c r="D202">
        <v>3</v>
      </c>
      <c r="E202">
        <v>43363</v>
      </c>
      <c r="F202" t="s">
        <v>44</v>
      </c>
    </row>
    <row r="203" spans="1:22" x14ac:dyDescent="0.2">
      <c r="A203" t="s">
        <v>53</v>
      </c>
      <c r="B203" t="s">
        <v>54</v>
      </c>
      <c r="C203">
        <v>2011</v>
      </c>
      <c r="D203">
        <v>4</v>
      </c>
      <c r="E203">
        <v>69144</v>
      </c>
      <c r="F203" t="s">
        <v>44</v>
      </c>
    </row>
    <row r="204" spans="1:22" x14ac:dyDescent="0.2">
      <c r="A204" t="s">
        <v>53</v>
      </c>
      <c r="B204" t="s">
        <v>54</v>
      </c>
      <c r="C204">
        <v>2011</v>
      </c>
      <c r="D204">
        <v>5</v>
      </c>
      <c r="E204">
        <v>69732</v>
      </c>
      <c r="F204" t="s">
        <v>15</v>
      </c>
    </row>
    <row r="205" spans="1:22" x14ac:dyDescent="0.2">
      <c r="A205" t="s">
        <v>53</v>
      </c>
      <c r="B205" t="s">
        <v>54</v>
      </c>
      <c r="C205">
        <v>2011</v>
      </c>
      <c r="D205">
        <v>6</v>
      </c>
      <c r="E205">
        <v>62061</v>
      </c>
      <c r="F205" t="s">
        <v>44</v>
      </c>
    </row>
    <row r="206" spans="1:22" x14ac:dyDescent="0.2">
      <c r="A206" t="s">
        <v>53</v>
      </c>
      <c r="B206" t="s">
        <v>54</v>
      </c>
      <c r="C206">
        <v>2011</v>
      </c>
      <c r="D206">
        <v>7</v>
      </c>
      <c r="E206">
        <v>0</v>
      </c>
      <c r="F206" t="s">
        <v>14</v>
      </c>
    </row>
    <row r="207" spans="1:22" x14ac:dyDescent="0.2">
      <c r="A207" t="s">
        <v>53</v>
      </c>
      <c r="B207" t="s">
        <v>54</v>
      </c>
      <c r="C207">
        <v>2011</v>
      </c>
      <c r="D207">
        <v>8</v>
      </c>
      <c r="E207">
        <v>69732</v>
      </c>
      <c r="F207" t="s">
        <v>15</v>
      </c>
      <c r="P207" t="s">
        <v>53</v>
      </c>
      <c r="Q207" t="s">
        <v>54</v>
      </c>
      <c r="R207" t="s">
        <v>33</v>
      </c>
      <c r="S207">
        <v>13</v>
      </c>
      <c r="T207">
        <v>3</v>
      </c>
      <c r="U207" t="s">
        <v>29</v>
      </c>
      <c r="V207" t="s">
        <v>18</v>
      </c>
    </row>
    <row r="208" spans="1:22" x14ac:dyDescent="0.2">
      <c r="A208" t="s">
        <v>53</v>
      </c>
      <c r="B208" t="s">
        <v>54</v>
      </c>
      <c r="C208">
        <v>2011</v>
      </c>
      <c r="D208">
        <v>9</v>
      </c>
      <c r="E208">
        <v>78032</v>
      </c>
      <c r="F208" t="s">
        <v>44</v>
      </c>
    </row>
    <row r="209" spans="1:22" x14ac:dyDescent="0.2">
      <c r="A209" t="s">
        <v>53</v>
      </c>
      <c r="B209" t="s">
        <v>54</v>
      </c>
      <c r="C209">
        <v>2011</v>
      </c>
      <c r="D209">
        <v>10</v>
      </c>
      <c r="E209">
        <v>69732</v>
      </c>
      <c r="F209" t="s">
        <v>15</v>
      </c>
    </row>
    <row r="210" spans="1:22" x14ac:dyDescent="0.2">
      <c r="A210" t="s">
        <v>53</v>
      </c>
      <c r="B210" t="s">
        <v>54</v>
      </c>
      <c r="C210">
        <v>2011</v>
      </c>
      <c r="D210">
        <v>11</v>
      </c>
      <c r="E210">
        <v>69732</v>
      </c>
      <c r="F210" t="s">
        <v>15</v>
      </c>
    </row>
    <row r="211" spans="1:22" x14ac:dyDescent="0.2">
      <c r="A211" t="s">
        <v>53</v>
      </c>
      <c r="B211" t="s">
        <v>54</v>
      </c>
      <c r="C211">
        <v>2011</v>
      </c>
      <c r="D211">
        <v>12</v>
      </c>
      <c r="E211">
        <v>71345</v>
      </c>
      <c r="F211" t="s">
        <v>44</v>
      </c>
    </row>
    <row r="212" spans="1:22" x14ac:dyDescent="0.2">
      <c r="A212" t="s">
        <v>53</v>
      </c>
      <c r="B212" t="s">
        <v>54</v>
      </c>
      <c r="C212">
        <v>2011</v>
      </c>
      <c r="D212">
        <v>13</v>
      </c>
      <c r="E212">
        <v>69732</v>
      </c>
      <c r="F212" t="s">
        <v>15</v>
      </c>
    </row>
    <row r="213" spans="1:22" x14ac:dyDescent="0.2">
      <c r="A213" t="s">
        <v>53</v>
      </c>
      <c r="B213" t="s">
        <v>54</v>
      </c>
      <c r="C213">
        <v>2011</v>
      </c>
      <c r="D213">
        <v>14</v>
      </c>
      <c r="E213">
        <v>60808</v>
      </c>
      <c r="F213" t="s">
        <v>44</v>
      </c>
    </row>
    <row r="214" spans="1:22" x14ac:dyDescent="0.2">
      <c r="A214" t="s">
        <v>53</v>
      </c>
      <c r="B214" t="s">
        <v>54</v>
      </c>
      <c r="C214">
        <v>2011</v>
      </c>
      <c r="D214">
        <v>15</v>
      </c>
      <c r="E214">
        <v>69732</v>
      </c>
      <c r="F214" t="s">
        <v>15</v>
      </c>
    </row>
    <row r="215" spans="1:22" x14ac:dyDescent="0.2">
      <c r="A215" t="s">
        <v>53</v>
      </c>
      <c r="B215" t="s">
        <v>54</v>
      </c>
      <c r="C215">
        <v>2011</v>
      </c>
      <c r="D215">
        <v>16</v>
      </c>
      <c r="E215">
        <v>66697</v>
      </c>
      <c r="F215" t="s">
        <v>44</v>
      </c>
    </row>
    <row r="216" spans="1:22" x14ac:dyDescent="0.2">
      <c r="A216" t="s">
        <v>53</v>
      </c>
      <c r="B216" t="s">
        <v>54</v>
      </c>
      <c r="C216">
        <v>2011</v>
      </c>
      <c r="D216">
        <v>17</v>
      </c>
      <c r="E216">
        <v>55990</v>
      </c>
      <c r="F216" t="s">
        <v>44</v>
      </c>
    </row>
    <row r="217" spans="1:22" x14ac:dyDescent="0.2">
      <c r="A217" t="s">
        <v>0</v>
      </c>
      <c r="B217" t="s">
        <v>1</v>
      </c>
      <c r="C217" t="s">
        <v>2</v>
      </c>
      <c r="D217" t="s">
        <v>3</v>
      </c>
      <c r="E217" t="s">
        <v>4</v>
      </c>
      <c r="G217">
        <f>AVERAGEIF(F200:F216,"home",E200:E216)</f>
        <v>69732</v>
      </c>
      <c r="P217" t="s">
        <v>0</v>
      </c>
      <c r="Q217" t="s">
        <v>1</v>
      </c>
      <c r="R217" t="s">
        <v>2</v>
      </c>
      <c r="S217" t="s">
        <v>6</v>
      </c>
      <c r="T217" t="s">
        <v>7</v>
      </c>
      <c r="U217" t="s">
        <v>8</v>
      </c>
      <c r="V217" t="s">
        <v>9</v>
      </c>
    </row>
    <row r="218" spans="1:22" x14ac:dyDescent="0.2">
      <c r="A218" t="s">
        <v>53</v>
      </c>
      <c r="B218" t="s">
        <v>54</v>
      </c>
      <c r="C218">
        <v>2012</v>
      </c>
      <c r="D218">
        <v>1</v>
      </c>
      <c r="E218">
        <v>70523</v>
      </c>
      <c r="F218" t="s">
        <v>44</v>
      </c>
    </row>
    <row r="219" spans="1:22" x14ac:dyDescent="0.2">
      <c r="A219" t="s">
        <v>53</v>
      </c>
      <c r="B219" t="s">
        <v>54</v>
      </c>
      <c r="C219">
        <v>2012</v>
      </c>
      <c r="D219">
        <v>2</v>
      </c>
      <c r="E219">
        <v>69732</v>
      </c>
      <c r="F219" t="s">
        <v>15</v>
      </c>
    </row>
    <row r="220" spans="1:22" x14ac:dyDescent="0.2">
      <c r="A220" t="s">
        <v>53</v>
      </c>
      <c r="B220" t="s">
        <v>54</v>
      </c>
      <c r="C220">
        <v>2012</v>
      </c>
      <c r="D220">
        <v>3</v>
      </c>
      <c r="E220">
        <v>57288</v>
      </c>
      <c r="F220" t="s">
        <v>44</v>
      </c>
    </row>
    <row r="221" spans="1:22" x14ac:dyDescent="0.2">
      <c r="A221" t="s">
        <v>53</v>
      </c>
      <c r="B221" t="s">
        <v>54</v>
      </c>
      <c r="C221">
        <v>2012</v>
      </c>
      <c r="D221">
        <v>4</v>
      </c>
      <c r="E221">
        <v>79088</v>
      </c>
      <c r="F221" t="s">
        <v>44</v>
      </c>
    </row>
    <row r="222" spans="1:22" x14ac:dyDescent="0.2">
      <c r="A222" t="s">
        <v>53</v>
      </c>
      <c r="B222" t="s">
        <v>54</v>
      </c>
      <c r="C222">
        <v>2012</v>
      </c>
      <c r="D222">
        <v>5</v>
      </c>
      <c r="E222">
        <v>69732</v>
      </c>
      <c r="F222" t="s">
        <v>15</v>
      </c>
    </row>
    <row r="223" spans="1:22" x14ac:dyDescent="0.2">
      <c r="A223" t="s">
        <v>53</v>
      </c>
      <c r="B223" t="s">
        <v>54</v>
      </c>
      <c r="C223">
        <v>2012</v>
      </c>
      <c r="D223">
        <v>6</v>
      </c>
      <c r="E223">
        <v>69732</v>
      </c>
      <c r="F223" t="s">
        <v>15</v>
      </c>
    </row>
    <row r="224" spans="1:22" x14ac:dyDescent="0.2">
      <c r="A224" t="s">
        <v>53</v>
      </c>
      <c r="B224" t="s">
        <v>54</v>
      </c>
      <c r="C224">
        <v>2012</v>
      </c>
      <c r="D224">
        <v>7</v>
      </c>
      <c r="E224">
        <v>69732</v>
      </c>
      <c r="F224" t="s">
        <v>15</v>
      </c>
    </row>
    <row r="225" spans="1:22" x14ac:dyDescent="0.2">
      <c r="A225" t="s">
        <v>53</v>
      </c>
      <c r="B225" t="s">
        <v>54</v>
      </c>
      <c r="C225">
        <v>2012</v>
      </c>
      <c r="D225">
        <v>8</v>
      </c>
      <c r="E225">
        <v>62810</v>
      </c>
      <c r="F225" t="s">
        <v>44</v>
      </c>
      <c r="P225" t="s">
        <v>53</v>
      </c>
      <c r="Q225" t="s">
        <v>54</v>
      </c>
      <c r="R225" t="s">
        <v>34</v>
      </c>
      <c r="S225">
        <v>11</v>
      </c>
      <c r="T225">
        <v>4</v>
      </c>
      <c r="U225" t="s">
        <v>29</v>
      </c>
      <c r="V225" t="s">
        <v>30</v>
      </c>
    </row>
    <row r="226" spans="1:22" x14ac:dyDescent="0.2">
      <c r="A226" t="s">
        <v>53</v>
      </c>
      <c r="B226" t="s">
        <v>54</v>
      </c>
      <c r="C226">
        <v>2012</v>
      </c>
      <c r="D226">
        <v>9</v>
      </c>
      <c r="E226">
        <v>0</v>
      </c>
      <c r="F226" t="s">
        <v>14</v>
      </c>
    </row>
    <row r="227" spans="1:22" x14ac:dyDescent="0.2">
      <c r="A227" t="s">
        <v>53</v>
      </c>
      <c r="B227" t="s">
        <v>54</v>
      </c>
      <c r="C227">
        <v>2012</v>
      </c>
      <c r="D227">
        <v>10</v>
      </c>
      <c r="E227">
        <v>69732</v>
      </c>
      <c r="F227" t="s">
        <v>15</v>
      </c>
    </row>
    <row r="228" spans="1:22" x14ac:dyDescent="0.2">
      <c r="A228" t="s">
        <v>53</v>
      </c>
      <c r="B228" t="s">
        <v>54</v>
      </c>
      <c r="C228">
        <v>2012</v>
      </c>
      <c r="D228">
        <v>11</v>
      </c>
      <c r="E228">
        <v>69732</v>
      </c>
      <c r="F228" t="s">
        <v>15</v>
      </c>
    </row>
    <row r="229" spans="1:22" x14ac:dyDescent="0.2">
      <c r="A229" t="s">
        <v>53</v>
      </c>
      <c r="B229" t="s">
        <v>54</v>
      </c>
      <c r="C229">
        <v>2012</v>
      </c>
      <c r="D229">
        <v>12</v>
      </c>
      <c r="E229">
        <v>73147</v>
      </c>
      <c r="F229" t="s">
        <v>44</v>
      </c>
    </row>
    <row r="230" spans="1:22" x14ac:dyDescent="0.2">
      <c r="A230" t="s">
        <v>53</v>
      </c>
      <c r="B230" t="s">
        <v>54</v>
      </c>
      <c r="C230">
        <v>2012</v>
      </c>
      <c r="D230">
        <v>13</v>
      </c>
      <c r="E230">
        <v>57279</v>
      </c>
      <c r="F230" t="s">
        <v>44</v>
      </c>
    </row>
    <row r="231" spans="1:22" x14ac:dyDescent="0.2">
      <c r="A231" t="s">
        <v>53</v>
      </c>
      <c r="B231" t="s">
        <v>54</v>
      </c>
      <c r="C231">
        <v>2012</v>
      </c>
      <c r="D231">
        <v>14</v>
      </c>
      <c r="E231">
        <v>69732</v>
      </c>
      <c r="F231" t="s">
        <v>15</v>
      </c>
    </row>
    <row r="232" spans="1:22" x14ac:dyDescent="0.2">
      <c r="A232" t="s">
        <v>53</v>
      </c>
      <c r="B232" t="s">
        <v>54</v>
      </c>
      <c r="C232">
        <v>2012</v>
      </c>
      <c r="D232">
        <v>15</v>
      </c>
      <c r="E232">
        <v>68756</v>
      </c>
      <c r="F232" t="s">
        <v>44</v>
      </c>
    </row>
    <row r="233" spans="1:22" x14ac:dyDescent="0.2">
      <c r="A233" t="s">
        <v>53</v>
      </c>
      <c r="B233" t="s">
        <v>54</v>
      </c>
      <c r="C233">
        <v>2012</v>
      </c>
      <c r="D233">
        <v>16</v>
      </c>
      <c r="E233">
        <v>68161</v>
      </c>
      <c r="F233" t="s">
        <v>44</v>
      </c>
    </row>
    <row r="234" spans="1:22" x14ac:dyDescent="0.2">
      <c r="A234" t="s">
        <v>53</v>
      </c>
      <c r="B234" t="s">
        <v>54</v>
      </c>
      <c r="C234">
        <v>2012</v>
      </c>
      <c r="D234">
        <v>17</v>
      </c>
      <c r="E234">
        <v>69732</v>
      </c>
      <c r="F234" t="s">
        <v>15</v>
      </c>
    </row>
    <row r="235" spans="1:22" x14ac:dyDescent="0.2">
      <c r="A235" t="s">
        <v>0</v>
      </c>
      <c r="B235" t="s">
        <v>1</v>
      </c>
      <c r="C235" t="s">
        <v>2</v>
      </c>
      <c r="D235" t="s">
        <v>3</v>
      </c>
      <c r="E235" t="s">
        <v>4</v>
      </c>
      <c r="G235">
        <f>AVERAGEIF(F218:F234,"home",E218:E234)</f>
        <v>69732</v>
      </c>
      <c r="P235" t="s">
        <v>0</v>
      </c>
      <c r="Q235" t="s">
        <v>1</v>
      </c>
      <c r="R235" t="s">
        <v>2</v>
      </c>
      <c r="S235" t="s">
        <v>6</v>
      </c>
      <c r="T235" t="s">
        <v>7</v>
      </c>
      <c r="U235" t="s">
        <v>8</v>
      </c>
      <c r="V235" t="s">
        <v>9</v>
      </c>
    </row>
    <row r="236" spans="1:22" x14ac:dyDescent="0.2">
      <c r="A236" t="s">
        <v>53</v>
      </c>
      <c r="B236" t="s">
        <v>54</v>
      </c>
      <c r="C236">
        <v>2013</v>
      </c>
      <c r="D236">
        <v>1</v>
      </c>
      <c r="E236">
        <v>69732</v>
      </c>
      <c r="F236" t="s">
        <v>15</v>
      </c>
    </row>
    <row r="237" spans="1:22" x14ac:dyDescent="0.2">
      <c r="A237" t="s">
        <v>53</v>
      </c>
      <c r="B237" t="s">
        <v>54</v>
      </c>
      <c r="C237">
        <v>2013</v>
      </c>
      <c r="D237">
        <v>2</v>
      </c>
      <c r="E237">
        <v>68338</v>
      </c>
      <c r="F237" t="s">
        <v>44</v>
      </c>
    </row>
    <row r="238" spans="1:22" x14ac:dyDescent="0.2">
      <c r="A238" t="s">
        <v>53</v>
      </c>
      <c r="B238" t="s">
        <v>54</v>
      </c>
      <c r="C238">
        <v>2013</v>
      </c>
      <c r="D238">
        <v>3</v>
      </c>
      <c r="E238">
        <v>69732</v>
      </c>
      <c r="F238" t="s">
        <v>15</v>
      </c>
    </row>
    <row r="239" spans="1:22" x14ac:dyDescent="0.2">
      <c r="A239" t="s">
        <v>53</v>
      </c>
      <c r="B239" t="s">
        <v>54</v>
      </c>
      <c r="C239">
        <v>2013</v>
      </c>
      <c r="D239">
        <v>4</v>
      </c>
      <c r="E239">
        <v>56640</v>
      </c>
      <c r="F239" t="s">
        <v>44</v>
      </c>
    </row>
    <row r="240" spans="1:22" x14ac:dyDescent="0.2">
      <c r="A240" t="s">
        <v>53</v>
      </c>
      <c r="B240" t="s">
        <v>54</v>
      </c>
      <c r="C240">
        <v>2013</v>
      </c>
      <c r="D240">
        <v>5</v>
      </c>
      <c r="E240">
        <v>69732</v>
      </c>
      <c r="F240" t="s">
        <v>15</v>
      </c>
    </row>
    <row r="241" spans="1:22" x14ac:dyDescent="0.2">
      <c r="A241" t="s">
        <v>53</v>
      </c>
      <c r="B241" t="s">
        <v>54</v>
      </c>
      <c r="C241">
        <v>2013</v>
      </c>
      <c r="D241">
        <v>6</v>
      </c>
      <c r="E241">
        <v>69732</v>
      </c>
      <c r="F241" t="s">
        <v>15</v>
      </c>
    </row>
    <row r="242" spans="1:22" x14ac:dyDescent="0.2">
      <c r="A242" t="s">
        <v>53</v>
      </c>
      <c r="B242" t="s">
        <v>54</v>
      </c>
      <c r="C242">
        <v>2013</v>
      </c>
      <c r="D242">
        <v>7</v>
      </c>
      <c r="E242">
        <v>69143</v>
      </c>
      <c r="F242" t="s">
        <v>44</v>
      </c>
    </row>
    <row r="243" spans="1:22" x14ac:dyDescent="0.2">
      <c r="A243" t="s">
        <v>53</v>
      </c>
      <c r="B243" t="s">
        <v>54</v>
      </c>
      <c r="C243">
        <v>2013</v>
      </c>
      <c r="D243">
        <v>8</v>
      </c>
      <c r="E243">
        <v>83559</v>
      </c>
      <c r="F243" t="s">
        <v>44</v>
      </c>
      <c r="P243" t="s">
        <v>53</v>
      </c>
      <c r="Q243" t="s">
        <v>54</v>
      </c>
      <c r="R243" t="s">
        <v>35</v>
      </c>
      <c r="S243">
        <v>12</v>
      </c>
      <c r="T243">
        <v>4</v>
      </c>
      <c r="U243" t="s">
        <v>29</v>
      </c>
      <c r="V243" t="s">
        <v>30</v>
      </c>
    </row>
    <row r="244" spans="1:22" x14ac:dyDescent="0.2">
      <c r="A244" t="s">
        <v>53</v>
      </c>
      <c r="B244" t="s">
        <v>54</v>
      </c>
      <c r="C244">
        <v>2013</v>
      </c>
      <c r="D244">
        <v>9</v>
      </c>
      <c r="E244">
        <v>0</v>
      </c>
      <c r="F244" t="s">
        <v>14</v>
      </c>
    </row>
    <row r="245" spans="1:22" x14ac:dyDescent="0.2">
      <c r="A245" t="s">
        <v>53</v>
      </c>
      <c r="B245" t="s">
        <v>54</v>
      </c>
      <c r="C245">
        <v>2013</v>
      </c>
      <c r="D245">
        <v>10</v>
      </c>
      <c r="E245">
        <v>69732</v>
      </c>
      <c r="F245" t="s">
        <v>15</v>
      </c>
    </row>
    <row r="246" spans="1:22" x14ac:dyDescent="0.2">
      <c r="A246" t="s">
        <v>53</v>
      </c>
      <c r="B246" t="s">
        <v>54</v>
      </c>
      <c r="C246">
        <v>2013</v>
      </c>
      <c r="D246">
        <v>11</v>
      </c>
      <c r="E246">
        <v>73025</v>
      </c>
      <c r="F246" t="s">
        <v>44</v>
      </c>
    </row>
    <row r="247" spans="1:22" x14ac:dyDescent="0.2">
      <c r="A247" t="s">
        <v>53</v>
      </c>
      <c r="B247" t="s">
        <v>54</v>
      </c>
      <c r="C247">
        <v>2013</v>
      </c>
      <c r="D247">
        <v>12</v>
      </c>
      <c r="E247">
        <v>79773</v>
      </c>
      <c r="F247" t="s">
        <v>44</v>
      </c>
    </row>
    <row r="248" spans="1:22" x14ac:dyDescent="0.2">
      <c r="A248" t="s">
        <v>53</v>
      </c>
      <c r="B248" t="s">
        <v>54</v>
      </c>
      <c r="C248">
        <v>2013</v>
      </c>
      <c r="D248">
        <v>13</v>
      </c>
      <c r="E248">
        <v>69732</v>
      </c>
      <c r="F248" t="s">
        <v>15</v>
      </c>
    </row>
    <row r="249" spans="1:22" x14ac:dyDescent="0.2">
      <c r="A249" t="s">
        <v>53</v>
      </c>
      <c r="B249" t="s">
        <v>54</v>
      </c>
      <c r="C249">
        <v>2013</v>
      </c>
      <c r="D249">
        <v>14</v>
      </c>
      <c r="E249">
        <v>69732</v>
      </c>
      <c r="F249" t="s">
        <v>15</v>
      </c>
    </row>
    <row r="250" spans="1:22" x14ac:dyDescent="0.2">
      <c r="A250" t="s">
        <v>53</v>
      </c>
      <c r="B250" t="s">
        <v>54</v>
      </c>
      <c r="C250">
        <v>2013</v>
      </c>
      <c r="D250">
        <v>15</v>
      </c>
      <c r="E250">
        <v>64142</v>
      </c>
      <c r="F250" t="s">
        <v>44</v>
      </c>
    </row>
    <row r="251" spans="1:22" x14ac:dyDescent="0.2">
      <c r="A251" t="s">
        <v>53</v>
      </c>
      <c r="B251" t="s">
        <v>54</v>
      </c>
      <c r="C251">
        <v>2013</v>
      </c>
      <c r="D251">
        <v>16</v>
      </c>
      <c r="E251">
        <v>69732</v>
      </c>
      <c r="F251" t="s">
        <v>15</v>
      </c>
    </row>
    <row r="252" spans="1:22" x14ac:dyDescent="0.2">
      <c r="A252" t="s">
        <v>53</v>
      </c>
      <c r="B252" t="s">
        <v>54</v>
      </c>
      <c r="C252">
        <v>2013</v>
      </c>
      <c r="D252">
        <v>17</v>
      </c>
      <c r="E252">
        <v>63570</v>
      </c>
      <c r="F252" t="s">
        <v>44</v>
      </c>
    </row>
    <row r="253" spans="1:22" x14ac:dyDescent="0.2">
      <c r="A253" t="s">
        <v>0</v>
      </c>
      <c r="B253" t="s">
        <v>1</v>
      </c>
      <c r="C253" t="s">
        <v>2</v>
      </c>
      <c r="D253" t="s">
        <v>3</v>
      </c>
      <c r="E253" t="s">
        <v>4</v>
      </c>
      <c r="G253">
        <f>AVERAGEIF(F236:F252,"home",E236:E252)</f>
        <v>69732</v>
      </c>
      <c r="P253" t="s">
        <v>0</v>
      </c>
      <c r="Q253" t="s">
        <v>1</v>
      </c>
      <c r="R253" t="s">
        <v>2</v>
      </c>
      <c r="S253" t="s">
        <v>6</v>
      </c>
      <c r="T253" t="s">
        <v>7</v>
      </c>
      <c r="U253" t="s">
        <v>8</v>
      </c>
      <c r="V253" t="s">
        <v>9</v>
      </c>
    </row>
    <row r="254" spans="1:22" x14ac:dyDescent="0.2">
      <c r="A254" t="s">
        <v>53</v>
      </c>
      <c r="B254" t="s">
        <v>54</v>
      </c>
      <c r="C254">
        <v>2014</v>
      </c>
      <c r="D254">
        <v>1</v>
      </c>
      <c r="E254">
        <v>91174</v>
      </c>
      <c r="F254" t="s">
        <v>44</v>
      </c>
    </row>
    <row r="255" spans="1:22" x14ac:dyDescent="0.2">
      <c r="A255" t="s">
        <v>53</v>
      </c>
      <c r="B255" t="s">
        <v>54</v>
      </c>
      <c r="C255">
        <v>2014</v>
      </c>
      <c r="D255">
        <v>2</v>
      </c>
      <c r="E255">
        <v>70799</v>
      </c>
      <c r="F255" t="s">
        <v>15</v>
      </c>
    </row>
    <row r="256" spans="1:22" x14ac:dyDescent="0.2">
      <c r="A256" t="s">
        <v>53</v>
      </c>
      <c r="B256" t="s">
        <v>54</v>
      </c>
      <c r="C256">
        <v>2014</v>
      </c>
      <c r="D256">
        <v>3</v>
      </c>
      <c r="E256">
        <v>61572</v>
      </c>
      <c r="F256" t="s">
        <v>44</v>
      </c>
    </row>
    <row r="257" spans="1:22" x14ac:dyDescent="0.2">
      <c r="A257" t="s">
        <v>53</v>
      </c>
      <c r="B257" t="s">
        <v>54</v>
      </c>
      <c r="C257">
        <v>2014</v>
      </c>
      <c r="D257">
        <v>4</v>
      </c>
      <c r="E257">
        <v>70799</v>
      </c>
      <c r="F257" t="s">
        <v>15</v>
      </c>
    </row>
    <row r="258" spans="1:22" x14ac:dyDescent="0.2">
      <c r="A258" t="s">
        <v>53</v>
      </c>
      <c r="B258" t="s">
        <v>54</v>
      </c>
      <c r="C258">
        <v>2014</v>
      </c>
      <c r="D258">
        <v>5</v>
      </c>
      <c r="E258">
        <v>70799</v>
      </c>
      <c r="F258" t="s">
        <v>15</v>
      </c>
    </row>
    <row r="259" spans="1:22" x14ac:dyDescent="0.2">
      <c r="A259" t="s">
        <v>53</v>
      </c>
      <c r="B259" t="s">
        <v>54</v>
      </c>
      <c r="C259">
        <v>2014</v>
      </c>
      <c r="D259">
        <v>6</v>
      </c>
      <c r="E259">
        <v>56851</v>
      </c>
      <c r="F259" t="s">
        <v>44</v>
      </c>
    </row>
    <row r="260" spans="1:22" x14ac:dyDescent="0.2">
      <c r="A260" t="s">
        <v>53</v>
      </c>
      <c r="B260" t="s">
        <v>54</v>
      </c>
      <c r="C260">
        <v>2014</v>
      </c>
      <c r="D260">
        <v>7</v>
      </c>
      <c r="E260">
        <v>77047</v>
      </c>
      <c r="F260" t="s">
        <v>44</v>
      </c>
    </row>
    <row r="261" spans="1:22" x14ac:dyDescent="0.2">
      <c r="A261" t="s">
        <v>53</v>
      </c>
      <c r="B261" t="s">
        <v>54</v>
      </c>
      <c r="C261">
        <v>2014</v>
      </c>
      <c r="D261">
        <v>8</v>
      </c>
      <c r="E261">
        <v>0</v>
      </c>
      <c r="F261" t="s">
        <v>14</v>
      </c>
      <c r="P261" t="s">
        <v>53</v>
      </c>
      <c r="Q261" t="s">
        <v>54</v>
      </c>
      <c r="R261" t="s">
        <v>36</v>
      </c>
      <c r="S261">
        <v>8</v>
      </c>
      <c r="T261">
        <v>8</v>
      </c>
      <c r="U261" t="s">
        <v>17</v>
      </c>
      <c r="V261" t="s">
        <v>18</v>
      </c>
    </row>
    <row r="262" spans="1:22" x14ac:dyDescent="0.2">
      <c r="A262" t="s">
        <v>53</v>
      </c>
      <c r="B262" t="s">
        <v>54</v>
      </c>
      <c r="C262">
        <v>2014</v>
      </c>
      <c r="D262">
        <v>9</v>
      </c>
      <c r="E262">
        <v>70799</v>
      </c>
      <c r="F262" t="s">
        <v>15</v>
      </c>
    </row>
    <row r="263" spans="1:22" x14ac:dyDescent="0.2">
      <c r="A263" t="s">
        <v>53</v>
      </c>
      <c r="B263" t="s">
        <v>54</v>
      </c>
      <c r="C263">
        <v>2014</v>
      </c>
      <c r="D263">
        <v>10</v>
      </c>
      <c r="E263">
        <v>73129</v>
      </c>
      <c r="F263" t="s">
        <v>44</v>
      </c>
    </row>
    <row r="264" spans="1:22" x14ac:dyDescent="0.2">
      <c r="A264" t="s">
        <v>53</v>
      </c>
      <c r="B264" t="s">
        <v>54</v>
      </c>
      <c r="C264">
        <v>2014</v>
      </c>
      <c r="D264">
        <v>11</v>
      </c>
      <c r="E264">
        <v>80352</v>
      </c>
      <c r="F264" t="s">
        <v>44</v>
      </c>
    </row>
    <row r="265" spans="1:22" x14ac:dyDescent="0.2">
      <c r="A265" t="s">
        <v>53</v>
      </c>
      <c r="B265" t="s">
        <v>54</v>
      </c>
      <c r="C265">
        <v>2014</v>
      </c>
      <c r="D265">
        <v>12</v>
      </c>
      <c r="E265">
        <v>70799</v>
      </c>
      <c r="F265" t="s">
        <v>15</v>
      </c>
    </row>
    <row r="266" spans="1:22" x14ac:dyDescent="0.2">
      <c r="A266" t="s">
        <v>53</v>
      </c>
      <c r="B266" t="s">
        <v>54</v>
      </c>
      <c r="C266">
        <v>2014</v>
      </c>
      <c r="D266">
        <v>13</v>
      </c>
      <c r="E266">
        <v>70799</v>
      </c>
      <c r="F266" t="s">
        <v>15</v>
      </c>
    </row>
    <row r="267" spans="1:22" x14ac:dyDescent="0.2">
      <c r="A267" t="s">
        <v>53</v>
      </c>
      <c r="B267" t="s">
        <v>54</v>
      </c>
      <c r="C267">
        <v>2014</v>
      </c>
      <c r="D267">
        <v>14</v>
      </c>
      <c r="E267">
        <v>55300</v>
      </c>
      <c r="F267" t="s">
        <v>44</v>
      </c>
    </row>
    <row r="268" spans="1:22" x14ac:dyDescent="0.2">
      <c r="A268" t="s">
        <v>53</v>
      </c>
      <c r="B268" t="s">
        <v>54</v>
      </c>
      <c r="C268">
        <v>2014</v>
      </c>
      <c r="D268">
        <v>15</v>
      </c>
      <c r="E268">
        <v>68526</v>
      </c>
      <c r="F268" t="s">
        <v>44</v>
      </c>
    </row>
    <row r="269" spans="1:22" x14ac:dyDescent="0.2">
      <c r="A269" t="s">
        <v>53</v>
      </c>
      <c r="B269" t="s">
        <v>54</v>
      </c>
      <c r="C269">
        <v>2014</v>
      </c>
      <c r="D269">
        <v>16</v>
      </c>
      <c r="E269">
        <v>70699</v>
      </c>
      <c r="F269" t="s">
        <v>15</v>
      </c>
    </row>
    <row r="270" spans="1:22" x14ac:dyDescent="0.2">
      <c r="A270" t="s">
        <v>53</v>
      </c>
      <c r="B270" t="s">
        <v>54</v>
      </c>
      <c r="C270">
        <v>2014</v>
      </c>
      <c r="D270">
        <v>17</v>
      </c>
      <c r="E270">
        <v>70699</v>
      </c>
      <c r="F270" t="s">
        <v>15</v>
      </c>
    </row>
    <row r="271" spans="1:22" x14ac:dyDescent="0.2">
      <c r="A271" t="s">
        <v>0</v>
      </c>
      <c r="B271" t="s">
        <v>1</v>
      </c>
      <c r="C271" t="s">
        <v>2</v>
      </c>
      <c r="D271" t="s">
        <v>3</v>
      </c>
      <c r="E271" t="s">
        <v>4</v>
      </c>
      <c r="G271">
        <f>AVERAGEIF(F254:F270,"home",E254:E270)</f>
        <v>70774</v>
      </c>
      <c r="P271" t="s">
        <v>0</v>
      </c>
      <c r="Q271" t="s">
        <v>1</v>
      </c>
      <c r="R271" t="s">
        <v>2</v>
      </c>
      <c r="S271" t="s">
        <v>6</v>
      </c>
      <c r="T271" t="s">
        <v>7</v>
      </c>
      <c r="U271" t="s">
        <v>8</v>
      </c>
      <c r="V271" t="s">
        <v>9</v>
      </c>
    </row>
    <row r="272" spans="1:22" x14ac:dyDescent="0.2">
      <c r="A272" t="s">
        <v>53</v>
      </c>
      <c r="B272" t="s">
        <v>54</v>
      </c>
      <c r="C272">
        <v>2015</v>
      </c>
      <c r="D272">
        <v>1</v>
      </c>
      <c r="E272">
        <v>70499</v>
      </c>
      <c r="F272" t="s">
        <v>15</v>
      </c>
    </row>
    <row r="273" spans="1:22" x14ac:dyDescent="0.2">
      <c r="A273" t="s">
        <v>53</v>
      </c>
      <c r="B273" t="s">
        <v>54</v>
      </c>
      <c r="C273">
        <v>2015</v>
      </c>
      <c r="D273">
        <v>2</v>
      </c>
      <c r="E273">
        <v>66472</v>
      </c>
      <c r="F273" t="s">
        <v>44</v>
      </c>
    </row>
    <row r="274" spans="1:22" x14ac:dyDescent="0.2">
      <c r="A274" t="s">
        <v>53</v>
      </c>
      <c r="B274" t="s">
        <v>54</v>
      </c>
      <c r="C274">
        <v>2015</v>
      </c>
      <c r="D274">
        <v>3</v>
      </c>
      <c r="E274">
        <v>63663</v>
      </c>
      <c r="F274" t="s">
        <v>44</v>
      </c>
    </row>
    <row r="275" spans="1:22" x14ac:dyDescent="0.2">
      <c r="A275" t="s">
        <v>53</v>
      </c>
      <c r="B275" t="s">
        <v>54</v>
      </c>
      <c r="C275">
        <v>2015</v>
      </c>
      <c r="D275">
        <v>4</v>
      </c>
      <c r="E275">
        <v>70799</v>
      </c>
      <c r="F275" t="s">
        <v>15</v>
      </c>
    </row>
    <row r="276" spans="1:22" x14ac:dyDescent="0.2">
      <c r="A276" t="s">
        <v>53</v>
      </c>
      <c r="B276" t="s">
        <v>54</v>
      </c>
      <c r="C276">
        <v>2015</v>
      </c>
      <c r="D276">
        <v>5</v>
      </c>
      <c r="E276">
        <v>78515</v>
      </c>
      <c r="F276" t="s">
        <v>44</v>
      </c>
    </row>
    <row r="277" spans="1:22" x14ac:dyDescent="0.2">
      <c r="A277" t="s">
        <v>53</v>
      </c>
      <c r="B277" t="s">
        <v>54</v>
      </c>
      <c r="C277">
        <v>2015</v>
      </c>
      <c r="D277">
        <v>6</v>
      </c>
      <c r="E277">
        <v>70799</v>
      </c>
      <c r="F277" t="s">
        <v>15</v>
      </c>
    </row>
    <row r="278" spans="1:22" x14ac:dyDescent="0.2">
      <c r="A278" t="s">
        <v>53</v>
      </c>
      <c r="B278" t="s">
        <v>54</v>
      </c>
      <c r="C278">
        <v>2015</v>
      </c>
      <c r="D278">
        <v>7</v>
      </c>
      <c r="E278">
        <v>70799</v>
      </c>
      <c r="F278" t="s">
        <v>15</v>
      </c>
    </row>
    <row r="279" spans="1:22" x14ac:dyDescent="0.2">
      <c r="A279" t="s">
        <v>53</v>
      </c>
      <c r="B279" t="s">
        <v>54</v>
      </c>
      <c r="C279">
        <v>2015</v>
      </c>
      <c r="D279">
        <v>8</v>
      </c>
      <c r="E279">
        <v>51207</v>
      </c>
      <c r="F279" t="s">
        <v>44</v>
      </c>
      <c r="P279" t="s">
        <v>53</v>
      </c>
      <c r="Q279" t="s">
        <v>54</v>
      </c>
      <c r="R279" t="s">
        <v>37</v>
      </c>
      <c r="S279">
        <v>5</v>
      </c>
      <c r="T279">
        <v>11</v>
      </c>
      <c r="U279" t="s">
        <v>17</v>
      </c>
      <c r="V279" t="s">
        <v>18</v>
      </c>
    </row>
    <row r="280" spans="1:22" x14ac:dyDescent="0.2">
      <c r="A280" t="s">
        <v>53</v>
      </c>
      <c r="B280" t="s">
        <v>54</v>
      </c>
      <c r="C280">
        <v>2015</v>
      </c>
      <c r="D280">
        <v>9</v>
      </c>
      <c r="E280">
        <v>70799</v>
      </c>
      <c r="F280" t="s">
        <v>15</v>
      </c>
    </row>
    <row r="281" spans="1:22" x14ac:dyDescent="0.2">
      <c r="A281" t="s">
        <v>53</v>
      </c>
      <c r="B281" t="s">
        <v>54</v>
      </c>
      <c r="C281">
        <v>2015</v>
      </c>
      <c r="D281">
        <v>10</v>
      </c>
      <c r="E281">
        <v>0</v>
      </c>
      <c r="F281" t="s">
        <v>14</v>
      </c>
    </row>
    <row r="282" spans="1:22" x14ac:dyDescent="0.2">
      <c r="A282" t="s">
        <v>53</v>
      </c>
      <c r="B282" t="s">
        <v>54</v>
      </c>
      <c r="C282">
        <v>2015</v>
      </c>
      <c r="D282">
        <v>11</v>
      </c>
      <c r="E282">
        <v>68993</v>
      </c>
      <c r="F282" t="s">
        <v>44</v>
      </c>
    </row>
    <row r="283" spans="1:22" x14ac:dyDescent="0.2">
      <c r="A283" t="s">
        <v>53</v>
      </c>
      <c r="B283" t="s">
        <v>54</v>
      </c>
      <c r="C283">
        <v>2015</v>
      </c>
      <c r="D283">
        <v>12</v>
      </c>
      <c r="E283">
        <v>70799</v>
      </c>
      <c r="F283" t="s">
        <v>15</v>
      </c>
    </row>
    <row r="284" spans="1:22" x14ac:dyDescent="0.2">
      <c r="A284" t="s">
        <v>53</v>
      </c>
      <c r="B284" t="s">
        <v>54</v>
      </c>
      <c r="C284">
        <v>2015</v>
      </c>
      <c r="D284">
        <v>13</v>
      </c>
      <c r="E284">
        <v>62088</v>
      </c>
      <c r="F284" t="s">
        <v>44</v>
      </c>
    </row>
    <row r="285" spans="1:22" x14ac:dyDescent="0.2">
      <c r="A285" t="s">
        <v>53</v>
      </c>
      <c r="B285" t="s">
        <v>54</v>
      </c>
      <c r="C285">
        <v>2015</v>
      </c>
      <c r="D285">
        <v>14</v>
      </c>
      <c r="E285">
        <v>63916</v>
      </c>
      <c r="F285" t="s">
        <v>44</v>
      </c>
    </row>
    <row r="286" spans="1:22" x14ac:dyDescent="0.2">
      <c r="A286" t="s">
        <v>53</v>
      </c>
      <c r="B286" t="s">
        <v>54</v>
      </c>
      <c r="C286">
        <v>2015</v>
      </c>
      <c r="D286">
        <v>15</v>
      </c>
      <c r="E286">
        <v>70799</v>
      </c>
      <c r="F286" t="s">
        <v>15</v>
      </c>
    </row>
    <row r="287" spans="1:22" x14ac:dyDescent="0.2">
      <c r="A287" t="s">
        <v>53</v>
      </c>
      <c r="B287" t="s">
        <v>54</v>
      </c>
      <c r="C287">
        <v>2015</v>
      </c>
      <c r="D287">
        <v>16</v>
      </c>
      <c r="E287">
        <v>61313</v>
      </c>
      <c r="F287" t="s">
        <v>44</v>
      </c>
    </row>
    <row r="288" spans="1:22" x14ac:dyDescent="0.2">
      <c r="A288" t="s">
        <v>53</v>
      </c>
      <c r="B288" t="s">
        <v>54</v>
      </c>
      <c r="C288">
        <v>2015</v>
      </c>
      <c r="D288">
        <v>17</v>
      </c>
      <c r="E288">
        <v>70799</v>
      </c>
      <c r="F288" t="s">
        <v>15</v>
      </c>
    </row>
    <row r="289" spans="1:22" x14ac:dyDescent="0.2">
      <c r="A289" t="s">
        <v>0</v>
      </c>
      <c r="B289" t="s">
        <v>1</v>
      </c>
      <c r="C289" t="s">
        <v>2</v>
      </c>
      <c r="D289" t="s">
        <v>3</v>
      </c>
      <c r="E289" t="s">
        <v>4</v>
      </c>
      <c r="G289">
        <f>AVERAGEIF(F272:F288,"home",E272:E288)</f>
        <v>70761.5</v>
      </c>
      <c r="P289" t="s">
        <v>0</v>
      </c>
      <c r="Q289" t="s">
        <v>1</v>
      </c>
      <c r="R289" t="s">
        <v>2</v>
      </c>
      <c r="S289" t="s">
        <v>6</v>
      </c>
      <c r="T289" t="s">
        <v>7</v>
      </c>
      <c r="U289" t="s">
        <v>8</v>
      </c>
      <c r="V289" t="s">
        <v>9</v>
      </c>
    </row>
    <row r="290" spans="1:22" x14ac:dyDescent="0.2">
      <c r="A290" t="s">
        <v>53</v>
      </c>
      <c r="B290" t="s">
        <v>54</v>
      </c>
      <c r="C290">
        <v>2016</v>
      </c>
      <c r="D290">
        <v>1</v>
      </c>
      <c r="E290">
        <v>70178</v>
      </c>
      <c r="F290" t="s">
        <v>15</v>
      </c>
    </row>
    <row r="291" spans="1:22" x14ac:dyDescent="0.2">
      <c r="A291" t="s">
        <v>53</v>
      </c>
      <c r="B291" t="s">
        <v>54</v>
      </c>
      <c r="C291">
        <v>2016</v>
      </c>
      <c r="D291">
        <v>2</v>
      </c>
      <c r="E291">
        <v>74143</v>
      </c>
      <c r="F291" t="s">
        <v>44</v>
      </c>
    </row>
    <row r="292" spans="1:22" x14ac:dyDescent="0.2">
      <c r="A292" t="s">
        <v>53</v>
      </c>
      <c r="B292" t="s">
        <v>54</v>
      </c>
      <c r="C292">
        <v>2016</v>
      </c>
      <c r="D292">
        <v>3</v>
      </c>
      <c r="E292">
        <v>69010</v>
      </c>
      <c r="F292" t="s">
        <v>44</v>
      </c>
    </row>
    <row r="293" spans="1:22" x14ac:dyDescent="0.2">
      <c r="A293" t="s">
        <v>53</v>
      </c>
      <c r="B293" t="s">
        <v>54</v>
      </c>
      <c r="C293">
        <v>2016</v>
      </c>
      <c r="D293">
        <v>4</v>
      </c>
      <c r="E293">
        <v>70178</v>
      </c>
      <c r="F293" t="s">
        <v>15</v>
      </c>
    </row>
    <row r="294" spans="1:22" x14ac:dyDescent="0.2">
      <c r="A294" t="s">
        <v>53</v>
      </c>
      <c r="B294" t="s">
        <v>54</v>
      </c>
      <c r="C294">
        <v>2016</v>
      </c>
      <c r="D294">
        <v>5</v>
      </c>
      <c r="E294">
        <v>70178</v>
      </c>
      <c r="F294" t="s">
        <v>15</v>
      </c>
    </row>
    <row r="295" spans="1:22" x14ac:dyDescent="0.2">
      <c r="A295" t="s">
        <v>53</v>
      </c>
      <c r="B295" t="s">
        <v>54</v>
      </c>
      <c r="C295">
        <v>2016</v>
      </c>
      <c r="D295">
        <v>6</v>
      </c>
      <c r="E295">
        <v>70003</v>
      </c>
      <c r="F295" t="s">
        <v>44</v>
      </c>
    </row>
    <row r="296" spans="1:22" x14ac:dyDescent="0.2">
      <c r="A296" t="s">
        <v>53</v>
      </c>
      <c r="B296" t="s">
        <v>54</v>
      </c>
      <c r="C296">
        <v>2016</v>
      </c>
      <c r="D296">
        <v>7</v>
      </c>
      <c r="E296">
        <v>70178</v>
      </c>
      <c r="F296" t="s">
        <v>15</v>
      </c>
    </row>
    <row r="297" spans="1:22" x14ac:dyDescent="0.2">
      <c r="A297" t="s">
        <v>53</v>
      </c>
      <c r="B297" t="s">
        <v>54</v>
      </c>
      <c r="C297">
        <v>2016</v>
      </c>
      <c r="D297">
        <v>8</v>
      </c>
      <c r="E297">
        <v>0</v>
      </c>
      <c r="F297" t="s">
        <v>14</v>
      </c>
      <c r="P297" t="s">
        <v>53</v>
      </c>
      <c r="Q297" t="s">
        <v>54</v>
      </c>
      <c r="R297" t="s">
        <v>38</v>
      </c>
      <c r="S297">
        <v>2</v>
      </c>
      <c r="T297">
        <v>14</v>
      </c>
      <c r="U297" t="s">
        <v>17</v>
      </c>
      <c r="V297" t="s">
        <v>18</v>
      </c>
    </row>
    <row r="298" spans="1:22" x14ac:dyDescent="0.2">
      <c r="A298" t="s">
        <v>53</v>
      </c>
      <c r="B298" t="s">
        <v>54</v>
      </c>
      <c r="C298">
        <v>2016</v>
      </c>
      <c r="D298">
        <v>9</v>
      </c>
      <c r="E298">
        <v>70178</v>
      </c>
      <c r="F298" t="s">
        <v>15</v>
      </c>
    </row>
    <row r="299" spans="1:22" x14ac:dyDescent="0.2">
      <c r="A299" t="s">
        <v>53</v>
      </c>
      <c r="B299" t="s">
        <v>54</v>
      </c>
      <c r="C299">
        <v>2016</v>
      </c>
      <c r="D299">
        <v>10</v>
      </c>
      <c r="E299">
        <v>65127</v>
      </c>
      <c r="F299" t="s">
        <v>44</v>
      </c>
    </row>
    <row r="300" spans="1:22" x14ac:dyDescent="0.2">
      <c r="A300" t="s">
        <v>53</v>
      </c>
      <c r="B300" t="s">
        <v>54</v>
      </c>
      <c r="C300">
        <v>2016</v>
      </c>
      <c r="D300">
        <v>11</v>
      </c>
      <c r="E300">
        <v>70178</v>
      </c>
      <c r="F300" t="s">
        <v>15</v>
      </c>
    </row>
    <row r="301" spans="1:22" x14ac:dyDescent="0.2">
      <c r="A301" t="s">
        <v>53</v>
      </c>
      <c r="B301" t="s">
        <v>54</v>
      </c>
      <c r="C301">
        <v>2016</v>
      </c>
      <c r="D301">
        <v>12</v>
      </c>
      <c r="E301">
        <v>65856</v>
      </c>
      <c r="F301" t="s">
        <v>44</v>
      </c>
    </row>
    <row r="302" spans="1:22" x14ac:dyDescent="0.2">
      <c r="A302" t="s">
        <v>53</v>
      </c>
      <c r="B302" t="s">
        <v>54</v>
      </c>
      <c r="C302">
        <v>2016</v>
      </c>
      <c r="D302">
        <v>13</v>
      </c>
      <c r="E302">
        <v>59782</v>
      </c>
      <c r="F302" t="s">
        <v>44</v>
      </c>
    </row>
    <row r="303" spans="1:22" x14ac:dyDescent="0.2">
      <c r="A303" t="s">
        <v>53</v>
      </c>
      <c r="B303" t="s">
        <v>54</v>
      </c>
      <c r="C303">
        <v>2016</v>
      </c>
      <c r="D303">
        <v>14</v>
      </c>
      <c r="E303">
        <v>70178</v>
      </c>
      <c r="F303" t="s">
        <v>15</v>
      </c>
    </row>
    <row r="304" spans="1:22" x14ac:dyDescent="0.2">
      <c r="A304" t="s">
        <v>53</v>
      </c>
      <c r="B304" t="s">
        <v>54</v>
      </c>
      <c r="C304">
        <v>2016</v>
      </c>
      <c r="D304">
        <v>15</v>
      </c>
      <c r="E304">
        <v>70164</v>
      </c>
      <c r="F304" t="s">
        <v>44</v>
      </c>
    </row>
    <row r="305" spans="1:22" x14ac:dyDescent="0.2">
      <c r="A305" t="s">
        <v>53</v>
      </c>
      <c r="B305" t="s">
        <v>54</v>
      </c>
      <c r="C305">
        <v>2016</v>
      </c>
      <c r="D305">
        <v>16</v>
      </c>
      <c r="E305">
        <v>83656</v>
      </c>
      <c r="F305" t="s">
        <v>44</v>
      </c>
    </row>
    <row r="306" spans="1:22" x14ac:dyDescent="0.2">
      <c r="A306" t="s">
        <v>53</v>
      </c>
      <c r="B306" t="s">
        <v>54</v>
      </c>
      <c r="C306">
        <v>2016</v>
      </c>
      <c r="D306">
        <v>17</v>
      </c>
      <c r="E306">
        <v>70178</v>
      </c>
      <c r="F306" t="s">
        <v>15</v>
      </c>
    </row>
    <row r="307" spans="1:22" x14ac:dyDescent="0.2">
      <c r="A307" t="s">
        <v>0</v>
      </c>
      <c r="B307" t="s">
        <v>1</v>
      </c>
      <c r="C307" t="s">
        <v>2</v>
      </c>
      <c r="D307" t="s">
        <v>3</v>
      </c>
      <c r="E307" t="s">
        <v>4</v>
      </c>
      <c r="G307">
        <f>AVERAGEIF(F290:F306,"home",E290:E306)</f>
        <v>70178</v>
      </c>
      <c r="P307" t="s">
        <v>0</v>
      </c>
      <c r="Q307" t="s">
        <v>1</v>
      </c>
      <c r="R307" t="s">
        <v>2</v>
      </c>
      <c r="S307" t="s">
        <v>6</v>
      </c>
      <c r="T307" t="s">
        <v>7</v>
      </c>
      <c r="U307" t="s">
        <v>8</v>
      </c>
      <c r="V307" t="s">
        <v>9</v>
      </c>
    </row>
    <row r="308" spans="1:22" x14ac:dyDescent="0.2">
      <c r="A308" t="s">
        <v>53</v>
      </c>
      <c r="B308" t="s">
        <v>54</v>
      </c>
      <c r="C308">
        <v>2017</v>
      </c>
      <c r="D308">
        <v>1</v>
      </c>
      <c r="E308">
        <v>70178</v>
      </c>
      <c r="F308" t="s">
        <v>15</v>
      </c>
    </row>
    <row r="309" spans="1:22" x14ac:dyDescent="0.2">
      <c r="A309" t="s">
        <v>53</v>
      </c>
      <c r="B309" t="s">
        <v>54</v>
      </c>
      <c r="C309">
        <v>2017</v>
      </c>
      <c r="D309">
        <v>2</v>
      </c>
      <c r="E309">
        <v>68729</v>
      </c>
      <c r="F309" t="s">
        <v>44</v>
      </c>
    </row>
    <row r="310" spans="1:22" x14ac:dyDescent="0.2">
      <c r="A310" t="s">
        <v>53</v>
      </c>
      <c r="B310" t="s">
        <v>54</v>
      </c>
      <c r="C310">
        <v>2017</v>
      </c>
      <c r="D310">
        <v>3</v>
      </c>
      <c r="E310">
        <v>70178</v>
      </c>
      <c r="F310" t="s">
        <v>15</v>
      </c>
    </row>
    <row r="311" spans="1:22" x14ac:dyDescent="0.2">
      <c r="A311" t="s">
        <v>53</v>
      </c>
      <c r="B311" t="s">
        <v>54</v>
      </c>
      <c r="C311">
        <v>2017</v>
      </c>
      <c r="D311">
        <v>4</v>
      </c>
      <c r="E311">
        <v>64121</v>
      </c>
      <c r="F311" t="s">
        <v>44</v>
      </c>
    </row>
    <row r="312" spans="1:22" x14ac:dyDescent="0.2">
      <c r="A312" t="s">
        <v>53</v>
      </c>
      <c r="B312" t="s">
        <v>54</v>
      </c>
      <c r="C312">
        <v>2017</v>
      </c>
      <c r="D312">
        <v>5</v>
      </c>
      <c r="E312">
        <v>65612</v>
      </c>
      <c r="F312" t="s">
        <v>44</v>
      </c>
    </row>
    <row r="313" spans="1:22" x14ac:dyDescent="0.2">
      <c r="A313" t="s">
        <v>53</v>
      </c>
      <c r="B313" t="s">
        <v>54</v>
      </c>
      <c r="C313">
        <v>2017</v>
      </c>
      <c r="D313">
        <v>6</v>
      </c>
      <c r="E313">
        <v>75568</v>
      </c>
      <c r="F313" t="s">
        <v>44</v>
      </c>
    </row>
    <row r="314" spans="1:22" x14ac:dyDescent="0.2">
      <c r="A314" t="s">
        <v>53</v>
      </c>
      <c r="B314" t="s">
        <v>54</v>
      </c>
      <c r="C314">
        <v>2017</v>
      </c>
      <c r="D314">
        <v>7</v>
      </c>
      <c r="E314">
        <v>70133</v>
      </c>
      <c r="F314" t="s">
        <v>15</v>
      </c>
    </row>
    <row r="315" spans="1:22" x14ac:dyDescent="0.2">
      <c r="A315" t="s">
        <v>53</v>
      </c>
      <c r="B315" t="s">
        <v>54</v>
      </c>
      <c r="C315">
        <v>2017</v>
      </c>
      <c r="D315">
        <v>8</v>
      </c>
      <c r="E315">
        <v>69596</v>
      </c>
      <c r="F315" t="s">
        <v>44</v>
      </c>
      <c r="P315" t="s">
        <v>53</v>
      </c>
      <c r="Q315" t="s">
        <v>54</v>
      </c>
      <c r="R315" t="s">
        <v>39</v>
      </c>
      <c r="S315">
        <v>6</v>
      </c>
      <c r="T315">
        <v>10</v>
      </c>
      <c r="U315" t="s">
        <v>17</v>
      </c>
      <c r="V315" t="s">
        <v>18</v>
      </c>
    </row>
    <row r="316" spans="1:22" x14ac:dyDescent="0.2">
      <c r="A316" t="s">
        <v>53</v>
      </c>
      <c r="B316" t="s">
        <v>54</v>
      </c>
      <c r="C316">
        <v>2017</v>
      </c>
      <c r="D316">
        <v>9</v>
      </c>
      <c r="E316">
        <v>70133</v>
      </c>
      <c r="F316" t="s">
        <v>15</v>
      </c>
    </row>
    <row r="317" spans="1:22" x14ac:dyDescent="0.2">
      <c r="A317" t="s">
        <v>53</v>
      </c>
      <c r="B317" t="s">
        <v>54</v>
      </c>
      <c r="C317">
        <v>2017</v>
      </c>
      <c r="D317">
        <v>10</v>
      </c>
      <c r="E317">
        <v>70133</v>
      </c>
      <c r="F317" t="s">
        <v>15</v>
      </c>
    </row>
    <row r="318" spans="1:22" x14ac:dyDescent="0.2">
      <c r="A318" t="s">
        <v>53</v>
      </c>
      <c r="B318" t="s">
        <v>54</v>
      </c>
      <c r="C318">
        <v>2017</v>
      </c>
      <c r="D318">
        <v>11</v>
      </c>
      <c r="E318">
        <v>0</v>
      </c>
      <c r="F318" t="s">
        <v>14</v>
      </c>
    </row>
    <row r="319" spans="1:22" x14ac:dyDescent="0.2">
      <c r="A319" t="s">
        <v>53</v>
      </c>
      <c r="B319" t="s">
        <v>54</v>
      </c>
      <c r="C319">
        <v>2017</v>
      </c>
      <c r="D319">
        <v>12</v>
      </c>
      <c r="E319">
        <v>70134</v>
      </c>
      <c r="F319" t="s">
        <v>15</v>
      </c>
    </row>
    <row r="320" spans="1:22" x14ac:dyDescent="0.2">
      <c r="A320" t="s">
        <v>53</v>
      </c>
      <c r="B320" t="s">
        <v>54</v>
      </c>
      <c r="C320">
        <v>2017</v>
      </c>
      <c r="D320">
        <v>13</v>
      </c>
      <c r="E320">
        <v>61302</v>
      </c>
      <c r="F320" t="s">
        <v>44</v>
      </c>
    </row>
    <row r="321" spans="1:22" x14ac:dyDescent="0.2">
      <c r="A321" t="s">
        <v>53</v>
      </c>
      <c r="B321" t="s">
        <v>54</v>
      </c>
      <c r="C321">
        <v>2017</v>
      </c>
      <c r="D321">
        <v>14</v>
      </c>
      <c r="E321">
        <v>71802</v>
      </c>
      <c r="F321" t="s">
        <v>44</v>
      </c>
    </row>
    <row r="322" spans="1:22" x14ac:dyDescent="0.2">
      <c r="A322" t="s">
        <v>53</v>
      </c>
      <c r="B322" t="s">
        <v>54</v>
      </c>
      <c r="C322">
        <v>2017</v>
      </c>
      <c r="D322">
        <v>15</v>
      </c>
      <c r="E322">
        <v>70133</v>
      </c>
      <c r="F322" t="s">
        <v>15</v>
      </c>
    </row>
    <row r="323" spans="1:22" x14ac:dyDescent="0.2">
      <c r="A323" t="s">
        <v>53</v>
      </c>
      <c r="B323" t="s">
        <v>54</v>
      </c>
      <c r="C323">
        <v>2017</v>
      </c>
      <c r="D323">
        <v>16</v>
      </c>
      <c r="E323">
        <v>70133</v>
      </c>
      <c r="F323" t="s">
        <v>15</v>
      </c>
    </row>
    <row r="324" spans="1:22" x14ac:dyDescent="0.2">
      <c r="A324" t="s">
        <v>53</v>
      </c>
      <c r="B324" t="s">
        <v>54</v>
      </c>
      <c r="C324">
        <v>2017</v>
      </c>
      <c r="D324">
        <v>17</v>
      </c>
      <c r="E324">
        <v>66125</v>
      </c>
      <c r="F324" t="s">
        <v>44</v>
      </c>
      <c r="G324">
        <f>AVERAGEIF(F308:F324,"home",E308:E324)</f>
        <v>70144.375</v>
      </c>
    </row>
    <row r="325" spans="1:22" x14ac:dyDescent="0.2">
      <c r="A325" t="s">
        <v>0</v>
      </c>
      <c r="B325" t="s">
        <v>1</v>
      </c>
      <c r="C325" t="s">
        <v>2</v>
      </c>
      <c r="D325" t="s">
        <v>3</v>
      </c>
      <c r="E325" t="s">
        <v>4</v>
      </c>
      <c r="P325" t="s">
        <v>0</v>
      </c>
      <c r="Q325" t="s">
        <v>1</v>
      </c>
      <c r="R325" t="s">
        <v>2</v>
      </c>
      <c r="S325" t="s">
        <v>6</v>
      </c>
      <c r="T325" t="s">
        <v>7</v>
      </c>
      <c r="U325" t="s">
        <v>8</v>
      </c>
      <c r="V325" t="s">
        <v>9</v>
      </c>
    </row>
    <row r="326" spans="1:22" x14ac:dyDescent="0.2">
      <c r="A326" t="s">
        <v>53</v>
      </c>
      <c r="B326" t="s">
        <v>54</v>
      </c>
      <c r="C326">
        <v>2018</v>
      </c>
      <c r="D326">
        <v>2</v>
      </c>
      <c r="E326">
        <v>70164</v>
      </c>
      <c r="F326" t="s">
        <v>15</v>
      </c>
    </row>
    <row r="327" spans="1:22" x14ac:dyDescent="0.2">
      <c r="A327" t="s">
        <v>53</v>
      </c>
      <c r="B327" t="s">
        <v>54</v>
      </c>
      <c r="C327">
        <v>2018</v>
      </c>
      <c r="D327">
        <v>3</v>
      </c>
      <c r="E327">
        <v>76023</v>
      </c>
      <c r="F327" t="s">
        <v>44</v>
      </c>
    </row>
    <row r="328" spans="1:22" x14ac:dyDescent="0.2">
      <c r="A328" t="s">
        <v>53</v>
      </c>
      <c r="B328" t="s">
        <v>54</v>
      </c>
      <c r="C328">
        <v>2018</v>
      </c>
      <c r="D328">
        <v>4</v>
      </c>
      <c r="E328">
        <v>25397</v>
      </c>
      <c r="F328" t="s">
        <v>44</v>
      </c>
    </row>
    <row r="329" spans="1:22" x14ac:dyDescent="0.2">
      <c r="A329" t="s">
        <v>53</v>
      </c>
      <c r="B329" t="s">
        <v>54</v>
      </c>
      <c r="C329">
        <v>2018</v>
      </c>
      <c r="D329">
        <v>5</v>
      </c>
      <c r="E329">
        <v>68337</v>
      </c>
      <c r="F329" t="s">
        <v>15</v>
      </c>
    </row>
    <row r="330" spans="1:22" x14ac:dyDescent="0.2">
      <c r="A330" t="s">
        <v>53</v>
      </c>
      <c r="B330" t="s">
        <v>54</v>
      </c>
      <c r="C330">
        <v>2018</v>
      </c>
      <c r="D330">
        <v>6</v>
      </c>
      <c r="E330">
        <v>77642</v>
      </c>
      <c r="F330" t="s">
        <v>44</v>
      </c>
    </row>
    <row r="331" spans="1:22" x14ac:dyDescent="0.2">
      <c r="A331" t="s">
        <v>53</v>
      </c>
      <c r="B331" t="s">
        <v>54</v>
      </c>
      <c r="C331">
        <v>2018</v>
      </c>
      <c r="D331">
        <v>7</v>
      </c>
      <c r="E331">
        <v>66597</v>
      </c>
      <c r="F331" t="s">
        <v>15</v>
      </c>
    </row>
    <row r="332" spans="1:22" x14ac:dyDescent="0.2">
      <c r="A332" t="s">
        <v>53</v>
      </c>
      <c r="B332" t="s">
        <v>54</v>
      </c>
      <c r="C332">
        <v>2018</v>
      </c>
      <c r="D332">
        <v>8</v>
      </c>
      <c r="E332">
        <v>61923</v>
      </c>
      <c r="F332" t="s">
        <v>44</v>
      </c>
    </row>
    <row r="333" spans="1:22" x14ac:dyDescent="0.2">
      <c r="A333" t="s">
        <v>53</v>
      </c>
      <c r="B333" t="s">
        <v>54</v>
      </c>
      <c r="C333">
        <v>2018</v>
      </c>
      <c r="D333">
        <v>9</v>
      </c>
      <c r="E333">
        <v>69592</v>
      </c>
      <c r="F333" t="s">
        <v>15</v>
      </c>
      <c r="P333" t="s">
        <v>53</v>
      </c>
      <c r="Q333" t="s">
        <v>54</v>
      </c>
      <c r="R333" t="s">
        <v>40</v>
      </c>
      <c r="S333">
        <v>4</v>
      </c>
      <c r="T333">
        <v>12</v>
      </c>
      <c r="U333" t="s">
        <v>17</v>
      </c>
      <c r="V333" t="s">
        <v>18</v>
      </c>
    </row>
    <row r="334" spans="1:22" x14ac:dyDescent="0.2">
      <c r="A334" t="s">
        <v>53</v>
      </c>
      <c r="B334" t="s">
        <v>54</v>
      </c>
      <c r="C334">
        <v>2018</v>
      </c>
      <c r="D334">
        <v>10</v>
      </c>
      <c r="E334">
        <v>69409</v>
      </c>
      <c r="F334" t="s">
        <v>15</v>
      </c>
    </row>
    <row r="335" spans="1:22" x14ac:dyDescent="0.2">
      <c r="A335" t="s">
        <v>53</v>
      </c>
      <c r="B335" t="s">
        <v>54</v>
      </c>
      <c r="C335">
        <v>2018</v>
      </c>
      <c r="D335">
        <v>11</v>
      </c>
      <c r="E335">
        <v>0</v>
      </c>
      <c r="F335" t="s">
        <v>14</v>
      </c>
    </row>
    <row r="336" spans="1:22" x14ac:dyDescent="0.2">
      <c r="A336" t="s">
        <v>53</v>
      </c>
      <c r="B336" t="s">
        <v>54</v>
      </c>
      <c r="C336">
        <v>2018</v>
      </c>
      <c r="D336">
        <v>12</v>
      </c>
      <c r="E336">
        <v>50436</v>
      </c>
      <c r="F336" t="s">
        <v>44</v>
      </c>
    </row>
    <row r="337" spans="1:22" x14ac:dyDescent="0.2">
      <c r="A337" t="s">
        <v>53</v>
      </c>
      <c r="B337" t="s">
        <v>54</v>
      </c>
      <c r="C337">
        <v>2018</v>
      </c>
      <c r="D337">
        <v>13</v>
      </c>
      <c r="E337">
        <v>69009</v>
      </c>
      <c r="F337" t="s">
        <v>44</v>
      </c>
    </row>
    <row r="338" spans="1:22" x14ac:dyDescent="0.2">
      <c r="A338" t="s">
        <v>53</v>
      </c>
      <c r="B338" t="s">
        <v>54</v>
      </c>
      <c r="C338">
        <v>2018</v>
      </c>
      <c r="D338">
        <v>14</v>
      </c>
      <c r="E338">
        <v>69449</v>
      </c>
      <c r="F338" t="s">
        <v>15</v>
      </c>
    </row>
    <row r="339" spans="1:22" x14ac:dyDescent="0.2">
      <c r="A339" t="s">
        <v>53</v>
      </c>
      <c r="B339" t="s">
        <v>54</v>
      </c>
      <c r="C339">
        <v>2018</v>
      </c>
      <c r="D339">
        <v>15</v>
      </c>
      <c r="E339">
        <v>68836</v>
      </c>
      <c r="F339" t="s">
        <v>15</v>
      </c>
    </row>
    <row r="340" spans="1:22" x14ac:dyDescent="0.2">
      <c r="A340" t="s">
        <v>53</v>
      </c>
      <c r="B340" t="s">
        <v>54</v>
      </c>
      <c r="C340">
        <v>2018</v>
      </c>
      <c r="D340">
        <v>16</v>
      </c>
      <c r="E340">
        <v>70806</v>
      </c>
      <c r="F340" t="s">
        <v>15</v>
      </c>
    </row>
    <row r="341" spans="1:22" x14ac:dyDescent="0.2">
      <c r="A341" t="s">
        <v>53</v>
      </c>
      <c r="B341" t="s">
        <v>54</v>
      </c>
      <c r="C341">
        <v>2018</v>
      </c>
      <c r="D341">
        <v>17</v>
      </c>
      <c r="E341">
        <v>72161</v>
      </c>
      <c r="F341" t="s">
        <v>44</v>
      </c>
    </row>
    <row r="342" spans="1:22" x14ac:dyDescent="0.2">
      <c r="A342" t="s">
        <v>0</v>
      </c>
      <c r="B342" t="s">
        <v>1</v>
      </c>
      <c r="C342" t="s">
        <v>2</v>
      </c>
      <c r="D342" t="s">
        <v>3</v>
      </c>
      <c r="E342" t="s">
        <v>4</v>
      </c>
    </row>
    <row r="343" spans="1:22" x14ac:dyDescent="0.2">
      <c r="A343" t="s">
        <v>53</v>
      </c>
      <c r="B343" t="s">
        <v>54</v>
      </c>
      <c r="C343">
        <v>2019</v>
      </c>
      <c r="D343">
        <v>1</v>
      </c>
      <c r="E343">
        <v>55976</v>
      </c>
      <c r="F343" t="s">
        <v>44</v>
      </c>
      <c r="G343">
        <f>AVERAGEIF(F326:F342,"home",E326:E342)</f>
        <v>69148.75</v>
      </c>
      <c r="P343" t="s">
        <v>0</v>
      </c>
      <c r="Q343" t="s">
        <v>1</v>
      </c>
      <c r="R343" t="s">
        <v>2</v>
      </c>
      <c r="S343" t="s">
        <v>6</v>
      </c>
      <c r="T343" t="s">
        <v>7</v>
      </c>
      <c r="U343" t="s">
        <v>8</v>
      </c>
      <c r="V343" t="s">
        <v>9</v>
      </c>
    </row>
    <row r="344" spans="1:22" x14ac:dyDescent="0.2">
      <c r="A344" t="s">
        <v>53</v>
      </c>
      <c r="B344" t="s">
        <v>54</v>
      </c>
      <c r="C344">
        <v>2019</v>
      </c>
      <c r="D344">
        <v>2</v>
      </c>
      <c r="E344">
        <v>50666</v>
      </c>
      <c r="F344" t="s">
        <v>44</v>
      </c>
    </row>
    <row r="345" spans="1:22" x14ac:dyDescent="0.2">
      <c r="A345" t="s">
        <v>53</v>
      </c>
      <c r="B345" t="s">
        <v>54</v>
      </c>
      <c r="C345">
        <v>2019</v>
      </c>
      <c r="D345">
        <v>3</v>
      </c>
      <c r="E345">
        <v>69439</v>
      </c>
      <c r="F345" t="s">
        <v>15</v>
      </c>
    </row>
    <row r="346" spans="1:22" x14ac:dyDescent="0.2">
      <c r="A346" t="s">
        <v>53</v>
      </c>
      <c r="B346" t="s">
        <v>54</v>
      </c>
      <c r="C346">
        <v>2019</v>
      </c>
      <c r="D346">
        <v>4</v>
      </c>
      <c r="E346">
        <v>0</v>
      </c>
      <c r="F346" t="s">
        <v>14</v>
      </c>
    </row>
    <row r="347" spans="1:22" x14ac:dyDescent="0.2">
      <c r="A347" t="s">
        <v>53</v>
      </c>
      <c r="B347" t="s">
        <v>54</v>
      </c>
      <c r="C347">
        <v>2019</v>
      </c>
      <c r="D347">
        <v>5</v>
      </c>
      <c r="E347">
        <v>70585</v>
      </c>
      <c r="F347" t="s">
        <v>15</v>
      </c>
    </row>
    <row r="348" spans="1:22" x14ac:dyDescent="0.2">
      <c r="A348" t="s">
        <v>53</v>
      </c>
      <c r="B348" t="s">
        <v>54</v>
      </c>
      <c r="C348">
        <v>2019</v>
      </c>
      <c r="D348">
        <v>6</v>
      </c>
      <c r="E348">
        <v>75695</v>
      </c>
      <c r="F348" t="s">
        <v>44</v>
      </c>
    </row>
    <row r="349" spans="1:22" x14ac:dyDescent="0.2">
      <c r="A349" t="s">
        <v>53</v>
      </c>
      <c r="B349" t="s">
        <v>54</v>
      </c>
      <c r="C349">
        <v>2019</v>
      </c>
      <c r="D349">
        <v>7</v>
      </c>
      <c r="E349">
        <v>61459</v>
      </c>
      <c r="F349" t="s">
        <v>44</v>
      </c>
    </row>
    <row r="350" spans="1:22" x14ac:dyDescent="0.2">
      <c r="A350" t="s">
        <v>53</v>
      </c>
      <c r="B350" t="s">
        <v>54</v>
      </c>
      <c r="C350">
        <v>2019</v>
      </c>
      <c r="D350">
        <v>8</v>
      </c>
      <c r="E350">
        <v>69083</v>
      </c>
      <c r="F350" t="s">
        <v>15</v>
      </c>
    </row>
    <row r="351" spans="1:22" x14ac:dyDescent="0.2">
      <c r="A351" t="s">
        <v>53</v>
      </c>
      <c r="B351" t="s">
        <v>54</v>
      </c>
      <c r="C351">
        <v>2019</v>
      </c>
      <c r="D351">
        <v>9</v>
      </c>
      <c r="E351">
        <v>60986</v>
      </c>
      <c r="F351" t="s">
        <v>44</v>
      </c>
      <c r="P351" t="s">
        <v>53</v>
      </c>
      <c r="Q351" t="s">
        <v>54</v>
      </c>
      <c r="R351" t="s">
        <v>41</v>
      </c>
      <c r="S351">
        <v>13</v>
      </c>
      <c r="T351">
        <v>3</v>
      </c>
      <c r="U351" t="s">
        <v>29</v>
      </c>
      <c r="V351" t="s">
        <v>30</v>
      </c>
    </row>
    <row r="352" spans="1:22" x14ac:dyDescent="0.2">
      <c r="A352" t="s">
        <v>53</v>
      </c>
      <c r="B352" t="s">
        <v>54</v>
      </c>
      <c r="C352">
        <v>2019</v>
      </c>
      <c r="D352">
        <v>10</v>
      </c>
      <c r="E352">
        <v>71404</v>
      </c>
      <c r="F352" t="s">
        <v>15</v>
      </c>
    </row>
    <row r="353" spans="1:7" x14ac:dyDescent="0.2">
      <c r="A353" t="s">
        <v>53</v>
      </c>
      <c r="B353" t="s">
        <v>54</v>
      </c>
      <c r="C353">
        <v>2019</v>
      </c>
      <c r="D353">
        <v>11</v>
      </c>
      <c r="E353">
        <v>69419</v>
      </c>
      <c r="F353" t="s">
        <v>15</v>
      </c>
    </row>
    <row r="354" spans="1:7" x14ac:dyDescent="0.2">
      <c r="A354" t="s">
        <v>53</v>
      </c>
      <c r="B354" t="s">
        <v>54</v>
      </c>
      <c r="C354">
        <v>2019</v>
      </c>
      <c r="D354">
        <v>12</v>
      </c>
      <c r="E354">
        <v>71500</v>
      </c>
      <c r="F354" t="s">
        <v>15</v>
      </c>
    </row>
    <row r="355" spans="1:7" x14ac:dyDescent="0.2">
      <c r="A355" t="s">
        <v>53</v>
      </c>
      <c r="B355" t="s">
        <v>54</v>
      </c>
      <c r="C355">
        <v>2019</v>
      </c>
      <c r="D355">
        <v>13</v>
      </c>
      <c r="E355">
        <v>71029</v>
      </c>
      <c r="F355" t="s">
        <v>44</v>
      </c>
    </row>
    <row r="356" spans="1:7" x14ac:dyDescent="0.2">
      <c r="A356" t="s">
        <v>53</v>
      </c>
      <c r="B356" t="s">
        <v>54</v>
      </c>
      <c r="C356">
        <v>2019</v>
      </c>
      <c r="D356">
        <v>14</v>
      </c>
      <c r="E356">
        <v>73038</v>
      </c>
      <c r="F356" t="s">
        <v>44</v>
      </c>
    </row>
    <row r="357" spans="1:7" x14ac:dyDescent="0.2">
      <c r="A357" t="s">
        <v>53</v>
      </c>
      <c r="B357" t="s">
        <v>54</v>
      </c>
      <c r="C357">
        <v>2019</v>
      </c>
      <c r="D357">
        <v>15</v>
      </c>
      <c r="E357">
        <v>70910</v>
      </c>
      <c r="F357" t="s">
        <v>15</v>
      </c>
    </row>
    <row r="358" spans="1:7" x14ac:dyDescent="0.2">
      <c r="A358" t="s">
        <v>53</v>
      </c>
      <c r="B358" t="s">
        <v>54</v>
      </c>
      <c r="C358">
        <v>2019</v>
      </c>
      <c r="D358">
        <v>16</v>
      </c>
      <c r="E358">
        <v>70103</v>
      </c>
      <c r="F358" t="s">
        <v>15</v>
      </c>
    </row>
    <row r="359" spans="1:7" x14ac:dyDescent="0.2">
      <c r="A359" t="s">
        <v>53</v>
      </c>
      <c r="B359" t="s">
        <v>54</v>
      </c>
      <c r="C359">
        <v>2019</v>
      </c>
      <c r="D359">
        <v>17</v>
      </c>
      <c r="E359">
        <v>69162</v>
      </c>
      <c r="F359" t="s">
        <v>44</v>
      </c>
    </row>
    <row r="361" spans="1:7" x14ac:dyDescent="0.2">
      <c r="G361">
        <f>AVERAGEIF(F344:F360,"home",E344:E360)</f>
        <v>70305.375</v>
      </c>
    </row>
  </sheetData>
  <pageMargins left="0.7" right="0.7" top="0.75" bottom="0.75" header="0.3" footer="0.3"/>
  <pageSetup orientation="portrait" horizontalDpi="0" verticalDpi="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A714C-2445-C24B-8B48-BF42437416BC}">
  <sheetPr codeName="Sheet10"/>
  <dimension ref="A1"/>
  <sheetViews>
    <sheetView tabSelected="1" topLeftCell="A7" workbookViewId="0">
      <selection activeCell="K27" sqref="K27"/>
    </sheetView>
  </sheetViews>
  <sheetFormatPr baseColWidth="10" defaultColWidth="8.6640625" defaultRowHeight="15" x14ac:dyDescent="0.2"/>
  <cols>
    <col min="1" max="16384" width="8.6640625" style="5"/>
  </cols>
  <sheetData/>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mastersubroutine">
                <anchor moveWithCells="1">
                  <from>
                    <xdr:col>2</xdr:col>
                    <xdr:colOff>101600</xdr:colOff>
                    <xdr:row>28</xdr:row>
                    <xdr:rowOff>25400</xdr:rowOff>
                  </from>
                  <to>
                    <xdr:col>7</xdr:col>
                    <xdr:colOff>139700</xdr:colOff>
                    <xdr:row>32</xdr:row>
                    <xdr:rowOff>25400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F8ECD-A54A-4633-BC1A-C82704CB97BA}">
  <sheetPr codeName="Sheet9">
    <pageSetUpPr fitToPage="1"/>
  </sheetPr>
  <dimension ref="A1:M24"/>
  <sheetViews>
    <sheetView workbookViewId="0"/>
  </sheetViews>
  <sheetFormatPr baseColWidth="10" defaultColWidth="8.6640625" defaultRowHeight="15" x14ac:dyDescent="0.2"/>
  <cols>
    <col min="2" max="2" width="8.6640625" style="18"/>
    <col min="5" max="5" width="8.6640625" style="18"/>
    <col min="8" max="8" width="8.6640625" style="18"/>
    <col min="11" max="11" width="8.6640625" style="18"/>
  </cols>
  <sheetData>
    <row r="1" spans="1:13" x14ac:dyDescent="0.2">
      <c r="A1" t="s">
        <v>55</v>
      </c>
      <c r="B1" s="18" t="s">
        <v>56</v>
      </c>
      <c r="C1" t="s">
        <v>61</v>
      </c>
      <c r="D1" t="s">
        <v>60</v>
      </c>
      <c r="E1" s="18" t="s">
        <v>57</v>
      </c>
      <c r="F1" t="s">
        <v>61</v>
      </c>
      <c r="G1" t="s">
        <v>60</v>
      </c>
      <c r="H1" s="18" t="s">
        <v>58</v>
      </c>
      <c r="I1" t="s">
        <v>61</v>
      </c>
      <c r="J1" t="s">
        <v>60</v>
      </c>
      <c r="K1" s="18" t="s">
        <v>59</v>
      </c>
      <c r="L1" t="s">
        <v>61</v>
      </c>
      <c r="M1" t="s">
        <v>60</v>
      </c>
    </row>
    <row r="2" spans="1:13" x14ac:dyDescent="0.2">
      <c r="A2">
        <v>2000</v>
      </c>
      <c r="B2" s="18">
        <f>'AZ Cardinals'!G18</f>
        <v>48434.375</v>
      </c>
      <c r="C2">
        <v>3</v>
      </c>
      <c r="D2">
        <v>0</v>
      </c>
      <c r="E2" s="18">
        <f>'SEA Seahawks'!G36</f>
        <v>60352.25</v>
      </c>
      <c r="F2">
        <v>6</v>
      </c>
      <c r="G2">
        <v>0</v>
      </c>
      <c r="H2" s="18">
        <f>'LA STL Rams'!G18</f>
        <v>66050.25</v>
      </c>
      <c r="I2">
        <v>10</v>
      </c>
      <c r="J2">
        <v>0</v>
      </c>
      <c r="K2" s="18">
        <f>'SF 49ers'!G18</f>
        <v>67708.857142857145</v>
      </c>
      <c r="L2">
        <v>6</v>
      </c>
      <c r="M2">
        <v>0</v>
      </c>
    </row>
    <row r="3" spans="1:13" x14ac:dyDescent="0.2">
      <c r="A3">
        <v>2001</v>
      </c>
      <c r="B3" s="18">
        <f>'AZ Cardinals'!G36</f>
        <v>38414.375</v>
      </c>
      <c r="C3">
        <v>7</v>
      </c>
      <c r="D3">
        <v>0</v>
      </c>
      <c r="E3" s="18">
        <f>'SEA Seahawks'!G54</f>
        <v>63077.625</v>
      </c>
      <c r="F3">
        <v>9</v>
      </c>
      <c r="G3">
        <v>0</v>
      </c>
      <c r="H3" s="18">
        <f>'LA STL Rams'!G36</f>
        <v>66103.625</v>
      </c>
      <c r="I3">
        <v>14</v>
      </c>
      <c r="J3">
        <v>1</v>
      </c>
      <c r="K3" s="18">
        <f>'SF 49ers'!G36</f>
        <v>67469.5</v>
      </c>
      <c r="L3">
        <v>12</v>
      </c>
      <c r="M3">
        <v>1</v>
      </c>
    </row>
    <row r="4" spans="1:13" x14ac:dyDescent="0.2">
      <c r="A4">
        <v>2002</v>
      </c>
      <c r="B4" s="18">
        <f>'AZ Cardinals'!G54</f>
        <v>40909</v>
      </c>
      <c r="C4">
        <v>5</v>
      </c>
      <c r="D4">
        <v>0</v>
      </c>
      <c r="E4" s="18">
        <f>'SEA Seahawks'!G72</f>
        <v>64018.75</v>
      </c>
      <c r="F4">
        <v>7</v>
      </c>
      <c r="G4">
        <v>1</v>
      </c>
      <c r="H4" s="18">
        <f>'LA STL Rams'!G54</f>
        <v>66062.25</v>
      </c>
      <c r="I4">
        <v>7</v>
      </c>
      <c r="J4">
        <v>0</v>
      </c>
      <c r="K4" s="18">
        <f>'SF 49ers'!G54</f>
        <v>67699.125</v>
      </c>
      <c r="L4">
        <v>10</v>
      </c>
      <c r="M4">
        <v>1</v>
      </c>
    </row>
    <row r="5" spans="1:13" x14ac:dyDescent="0.2">
      <c r="A5">
        <v>2003</v>
      </c>
      <c r="B5" s="18">
        <f>'AZ Cardinals'!G72</f>
        <v>36062.375</v>
      </c>
      <c r="C5">
        <v>4</v>
      </c>
      <c r="D5">
        <v>0</v>
      </c>
      <c r="E5" s="18">
        <f>'SEA Seahawks'!G91</f>
        <v>66679.5</v>
      </c>
      <c r="F5">
        <v>10</v>
      </c>
      <c r="G5">
        <v>1</v>
      </c>
      <c r="H5" s="18">
        <f>'LA STL Rams'!G72</f>
        <v>66057</v>
      </c>
      <c r="I5">
        <v>12</v>
      </c>
      <c r="J5">
        <v>1</v>
      </c>
      <c r="K5" s="18">
        <f>'SF 49ers'!G72</f>
        <v>67580.5</v>
      </c>
      <c r="L5">
        <v>7</v>
      </c>
      <c r="M5">
        <v>0</v>
      </c>
    </row>
    <row r="6" spans="1:13" x14ac:dyDescent="0.2">
      <c r="A6">
        <v>2004</v>
      </c>
      <c r="B6" s="18">
        <f>'AZ Cardinals'!G91</f>
        <v>38695.599999999999</v>
      </c>
      <c r="C6">
        <v>6</v>
      </c>
      <c r="D6">
        <v>0</v>
      </c>
      <c r="E6" s="18">
        <f>'SEA Seahawks'!G109</f>
        <v>66619.25</v>
      </c>
      <c r="F6">
        <v>9</v>
      </c>
      <c r="G6">
        <v>1</v>
      </c>
      <c r="H6" s="18">
        <f>'LA STL Rams'!G91</f>
        <v>65923</v>
      </c>
      <c r="I6">
        <v>8</v>
      </c>
      <c r="J6">
        <v>1</v>
      </c>
      <c r="K6" s="18">
        <f>'SF 49ers'!G91</f>
        <v>64783.875</v>
      </c>
      <c r="L6">
        <v>2</v>
      </c>
      <c r="M6">
        <v>0</v>
      </c>
    </row>
    <row r="7" spans="1:13" x14ac:dyDescent="0.2">
      <c r="A7">
        <v>2005</v>
      </c>
      <c r="B7" s="18">
        <f>'AZ Cardinals'!G109</f>
        <v>45129.375</v>
      </c>
      <c r="C7">
        <v>5</v>
      </c>
      <c r="D7">
        <v>0</v>
      </c>
      <c r="E7" s="18">
        <f>'SEA Seahawks'!G127</f>
        <v>67977.5</v>
      </c>
      <c r="F7">
        <v>13</v>
      </c>
      <c r="G7">
        <v>1</v>
      </c>
      <c r="H7" s="18">
        <f>'LA STL Rams'!G109</f>
        <v>65460.625</v>
      </c>
      <c r="I7">
        <v>6</v>
      </c>
      <c r="J7">
        <v>0</v>
      </c>
      <c r="K7" s="18">
        <f>'SF 49ers'!G109</f>
        <v>65428.25</v>
      </c>
      <c r="L7">
        <v>4</v>
      </c>
      <c r="M7">
        <v>0</v>
      </c>
    </row>
    <row r="8" spans="1:13" x14ac:dyDescent="0.2">
      <c r="A8">
        <v>2006</v>
      </c>
      <c r="B8" s="18">
        <f>'AZ Cardinals'!G127</f>
        <v>63603.625</v>
      </c>
      <c r="C8">
        <v>5</v>
      </c>
      <c r="D8">
        <v>0</v>
      </c>
      <c r="E8" s="18">
        <f>'SEA Seahawks'!G145</f>
        <v>68193.875</v>
      </c>
      <c r="F8">
        <v>9</v>
      </c>
      <c r="G8">
        <v>1</v>
      </c>
      <c r="H8" s="18">
        <f>'LA STL Rams'!G127</f>
        <v>65326.25</v>
      </c>
      <c r="I8">
        <v>8</v>
      </c>
      <c r="J8">
        <v>0</v>
      </c>
      <c r="K8" s="18">
        <f>'SF 49ers'!G127</f>
        <v>68150.875</v>
      </c>
      <c r="L8">
        <v>7</v>
      </c>
      <c r="M8">
        <v>0</v>
      </c>
    </row>
    <row r="9" spans="1:13" x14ac:dyDescent="0.2">
      <c r="A9">
        <v>2007</v>
      </c>
      <c r="B9" s="18">
        <f>'AZ Cardinals'!G145</f>
        <v>64487</v>
      </c>
      <c r="C9">
        <v>8</v>
      </c>
      <c r="D9">
        <v>0</v>
      </c>
      <c r="E9" s="18">
        <f>'SEA Seahawks'!G163</f>
        <v>67995.625</v>
      </c>
      <c r="F9">
        <v>10</v>
      </c>
      <c r="G9">
        <v>0</v>
      </c>
      <c r="H9" s="18">
        <f>'LA STL Rams'!G145</f>
        <v>64294.25</v>
      </c>
      <c r="I9">
        <v>3</v>
      </c>
      <c r="J9">
        <v>0</v>
      </c>
      <c r="K9" s="18">
        <f>'SF 49ers'!G145</f>
        <v>68028.25</v>
      </c>
      <c r="L9">
        <v>5</v>
      </c>
      <c r="M9">
        <v>0</v>
      </c>
    </row>
    <row r="10" spans="1:13" x14ac:dyDescent="0.2">
      <c r="A10">
        <v>2008</v>
      </c>
      <c r="B10" s="18">
        <f>'AZ Cardinals'!G163</f>
        <v>64144.800000000003</v>
      </c>
      <c r="C10">
        <v>9</v>
      </c>
      <c r="D10">
        <v>1</v>
      </c>
      <c r="E10" s="18">
        <f>'SEA Seahawks'!G181</f>
        <v>67392.625</v>
      </c>
      <c r="F10">
        <v>4</v>
      </c>
      <c r="G10">
        <v>0</v>
      </c>
      <c r="H10" s="18">
        <f>'LA STL Rams'!G163</f>
        <v>59980.375</v>
      </c>
      <c r="I10">
        <v>2</v>
      </c>
      <c r="J10">
        <v>0</v>
      </c>
      <c r="K10" s="18">
        <f>'SF 49ers'!G163</f>
        <v>67512.875</v>
      </c>
      <c r="L10">
        <v>7</v>
      </c>
      <c r="M10">
        <v>0</v>
      </c>
    </row>
    <row r="11" spans="1:13" x14ac:dyDescent="0.2">
      <c r="A11">
        <v>2009</v>
      </c>
      <c r="B11" s="18">
        <f>'AZ Cardinals'!G181</f>
        <v>63142.875</v>
      </c>
      <c r="C11">
        <v>10</v>
      </c>
      <c r="D11">
        <v>1</v>
      </c>
      <c r="E11" s="18">
        <f>'SEA Seahawks'!G199</f>
        <v>66992.75</v>
      </c>
      <c r="F11">
        <v>5</v>
      </c>
      <c r="G11">
        <v>1</v>
      </c>
      <c r="H11" s="18">
        <f>'LA STL Rams'!G181</f>
        <v>55237.625</v>
      </c>
      <c r="I11">
        <v>1</v>
      </c>
      <c r="J11">
        <v>0</v>
      </c>
      <c r="K11" s="18">
        <f>'SF 49ers'!G181</f>
        <v>69732</v>
      </c>
      <c r="L11">
        <v>8</v>
      </c>
      <c r="M11">
        <v>0</v>
      </c>
    </row>
    <row r="12" spans="1:13" x14ac:dyDescent="0.2">
      <c r="A12">
        <v>2010</v>
      </c>
      <c r="B12" s="18">
        <f>'AZ Cardinals'!G199</f>
        <v>62774.625</v>
      </c>
      <c r="C12">
        <v>5</v>
      </c>
      <c r="D12">
        <v>0</v>
      </c>
      <c r="E12" s="18">
        <f>'SEA Seahawks'!G217</f>
        <v>66413.875</v>
      </c>
      <c r="F12">
        <v>7</v>
      </c>
      <c r="G12">
        <v>0</v>
      </c>
      <c r="H12" s="18">
        <f>'LA STL Rams'!G199</f>
        <v>52922.875</v>
      </c>
      <c r="I12">
        <v>7</v>
      </c>
      <c r="J12">
        <v>0</v>
      </c>
      <c r="K12" s="18">
        <f>'SF 49ers'!G199</f>
        <v>71508.125</v>
      </c>
      <c r="L12">
        <v>6</v>
      </c>
      <c r="M12">
        <v>0</v>
      </c>
    </row>
    <row r="13" spans="1:13" x14ac:dyDescent="0.2">
      <c r="A13">
        <v>2011</v>
      </c>
      <c r="B13" s="18">
        <f>'AZ Cardinals'!G217</f>
        <v>61181.875</v>
      </c>
      <c r="C13">
        <v>8</v>
      </c>
      <c r="D13">
        <v>0</v>
      </c>
      <c r="E13" s="18">
        <f>'SEA Seahawks'!G235</f>
        <v>67946.25</v>
      </c>
      <c r="F13">
        <v>7</v>
      </c>
      <c r="G13">
        <v>1</v>
      </c>
      <c r="H13" s="18">
        <f>'LA STL Rams'!G217</f>
        <v>56394.125</v>
      </c>
      <c r="I13">
        <v>2</v>
      </c>
      <c r="J13">
        <v>0</v>
      </c>
      <c r="K13" s="18">
        <f>'SF 49ers'!G217</f>
        <v>69732</v>
      </c>
      <c r="L13">
        <v>13</v>
      </c>
      <c r="M13">
        <v>1</v>
      </c>
    </row>
    <row r="14" spans="1:13" x14ac:dyDescent="0.2">
      <c r="A14">
        <v>2012</v>
      </c>
      <c r="B14" s="18">
        <f>'AZ Cardinals'!G235</f>
        <v>60890.625</v>
      </c>
      <c r="C14">
        <v>5</v>
      </c>
      <c r="D14">
        <v>0</v>
      </c>
      <c r="E14" s="18">
        <f>'SEA Seahawks'!G253</f>
        <v>68197.125</v>
      </c>
      <c r="F14">
        <v>11</v>
      </c>
      <c r="G14">
        <v>1</v>
      </c>
      <c r="H14" s="18">
        <f>'LA STL Rams'!G235</f>
        <v>57616.125</v>
      </c>
      <c r="I14">
        <v>7</v>
      </c>
      <c r="J14">
        <v>0</v>
      </c>
      <c r="K14" s="18">
        <f>'SF 49ers'!G235</f>
        <v>69732</v>
      </c>
      <c r="L14">
        <v>11</v>
      </c>
      <c r="M14">
        <v>1</v>
      </c>
    </row>
    <row r="15" spans="1:13" x14ac:dyDescent="0.2">
      <c r="A15">
        <v>2013</v>
      </c>
      <c r="B15" s="18">
        <f>'AZ Cardinals'!G253</f>
        <v>61033.875</v>
      </c>
      <c r="C15">
        <v>10</v>
      </c>
      <c r="D15">
        <v>0</v>
      </c>
      <c r="E15" s="18">
        <f>'SEA Seahawks'!G271</f>
        <v>68412.25</v>
      </c>
      <c r="F15">
        <v>13</v>
      </c>
      <c r="G15">
        <v>1</v>
      </c>
      <c r="H15" s="18">
        <f>'LA STL Rams'!G253</f>
        <v>56957.125</v>
      </c>
      <c r="I15">
        <v>7</v>
      </c>
      <c r="J15">
        <v>0</v>
      </c>
      <c r="K15" s="18">
        <f>'SF 49ers'!G253</f>
        <v>69732</v>
      </c>
      <c r="L15">
        <v>12</v>
      </c>
      <c r="M15">
        <v>1</v>
      </c>
    </row>
    <row r="16" spans="1:13" x14ac:dyDescent="0.2">
      <c r="A16">
        <v>2014</v>
      </c>
      <c r="B16" s="18">
        <f>'AZ Cardinals'!G271</f>
        <v>61292</v>
      </c>
      <c r="C16">
        <v>11</v>
      </c>
      <c r="D16">
        <v>1</v>
      </c>
      <c r="E16" s="18">
        <f>'SEA Seahawks'!G271</f>
        <v>68412.25</v>
      </c>
      <c r="F16">
        <v>12</v>
      </c>
      <c r="G16">
        <v>1</v>
      </c>
      <c r="H16" s="18">
        <f>'LA STL Rams'!G271</f>
        <v>57018.25</v>
      </c>
      <c r="I16">
        <v>6</v>
      </c>
      <c r="J16">
        <v>0</v>
      </c>
      <c r="K16" s="18">
        <f>'SF 49ers'!G271</f>
        <v>70774</v>
      </c>
      <c r="L16">
        <v>8</v>
      </c>
      <c r="M16">
        <v>0</v>
      </c>
    </row>
    <row r="17" spans="1:13" x14ac:dyDescent="0.2">
      <c r="A17">
        <v>2015</v>
      </c>
      <c r="B17" s="18">
        <f>'AZ Cardinals'!G289</f>
        <v>64185.875</v>
      </c>
      <c r="C17">
        <v>13</v>
      </c>
      <c r="D17">
        <v>1</v>
      </c>
      <c r="E17" s="18">
        <f>'SEA Seahawks'!G289</f>
        <v>69020.25</v>
      </c>
      <c r="F17">
        <v>10</v>
      </c>
      <c r="G17">
        <v>1</v>
      </c>
      <c r="H17" s="18">
        <f>'LA STL Rams'!G289</f>
        <v>52402.5</v>
      </c>
      <c r="I17">
        <v>7</v>
      </c>
      <c r="J17">
        <v>0</v>
      </c>
      <c r="K17" s="18">
        <f>'SF 49ers'!G289</f>
        <v>70761.5</v>
      </c>
      <c r="L17">
        <v>5</v>
      </c>
      <c r="M17">
        <v>0</v>
      </c>
    </row>
    <row r="18" spans="1:13" x14ac:dyDescent="0.2">
      <c r="A18">
        <v>2016</v>
      </c>
      <c r="B18" s="18">
        <f>'AZ Cardinals'!G307</f>
        <v>64831.5</v>
      </c>
      <c r="C18">
        <v>7</v>
      </c>
      <c r="D18">
        <v>0</v>
      </c>
      <c r="E18" s="18">
        <f>'SEA Seahawks'!G307</f>
        <v>69073.5</v>
      </c>
      <c r="F18">
        <v>10</v>
      </c>
      <c r="G18">
        <v>0</v>
      </c>
      <c r="H18" s="18">
        <f>'LA STL Rams'!G307</f>
        <v>83164.75</v>
      </c>
      <c r="I18">
        <v>4</v>
      </c>
      <c r="J18">
        <v>0</v>
      </c>
      <c r="K18" s="18">
        <f>'SF 49ers'!G307</f>
        <v>70178</v>
      </c>
      <c r="L18">
        <v>2</v>
      </c>
      <c r="M18">
        <v>0</v>
      </c>
    </row>
    <row r="19" spans="1:13" x14ac:dyDescent="0.2">
      <c r="A19">
        <v>2017</v>
      </c>
      <c r="B19" s="18">
        <f>'AZ Cardinals'!G324</f>
        <v>64217.625</v>
      </c>
      <c r="C19">
        <v>8</v>
      </c>
      <c r="D19">
        <v>0</v>
      </c>
      <c r="E19" s="18">
        <f>'SEA Seahawks'!G324</f>
        <v>68976.125</v>
      </c>
      <c r="F19">
        <v>9</v>
      </c>
      <c r="G19">
        <v>1</v>
      </c>
      <c r="H19" s="18">
        <f>'LA STL Rams'!G324</f>
        <v>63392</v>
      </c>
      <c r="I19">
        <v>11</v>
      </c>
      <c r="J19">
        <v>1</v>
      </c>
      <c r="K19" s="18">
        <f>'SF 49ers'!G324</f>
        <v>70144.375</v>
      </c>
      <c r="L19">
        <v>6</v>
      </c>
      <c r="M19">
        <v>0</v>
      </c>
    </row>
    <row r="20" spans="1:13" x14ac:dyDescent="0.2">
      <c r="A20">
        <v>2018</v>
      </c>
      <c r="B20" s="18">
        <f>'AZ Cardinals'!G343</f>
        <v>61686</v>
      </c>
      <c r="C20">
        <v>3</v>
      </c>
      <c r="D20">
        <v>0</v>
      </c>
      <c r="E20" s="18">
        <f>'SEA Seahawks'!G343</f>
        <v>69001.125</v>
      </c>
      <c r="F20">
        <v>10</v>
      </c>
      <c r="G20">
        <v>1</v>
      </c>
      <c r="H20" s="18">
        <f>'LA STL Rams'!G343</f>
        <v>72429.875</v>
      </c>
      <c r="I20">
        <v>13</v>
      </c>
      <c r="J20">
        <v>1</v>
      </c>
      <c r="K20" s="18">
        <f>'SF 49ers'!G343</f>
        <v>69148.75</v>
      </c>
      <c r="L20">
        <v>4</v>
      </c>
      <c r="M20">
        <v>0</v>
      </c>
    </row>
    <row r="21" spans="1:13" x14ac:dyDescent="0.2">
      <c r="A21">
        <v>2019</v>
      </c>
      <c r="B21" s="18">
        <f>'AZ Cardinals'!G361</f>
        <v>61323.25</v>
      </c>
      <c r="C21">
        <v>5</v>
      </c>
      <c r="D21">
        <v>0</v>
      </c>
      <c r="E21" s="18">
        <f>'SEA Seahawks'!G361</f>
        <v>68990.875</v>
      </c>
      <c r="F21">
        <v>11</v>
      </c>
      <c r="G21">
        <v>1</v>
      </c>
      <c r="H21" s="18">
        <f>'LA STL Rams'!G361</f>
        <v>72790.625</v>
      </c>
      <c r="I21">
        <v>9</v>
      </c>
      <c r="J21">
        <v>0</v>
      </c>
      <c r="K21" s="18">
        <f>'SF 49ers'!G361</f>
        <v>70305.375</v>
      </c>
      <c r="L21">
        <v>13</v>
      </c>
      <c r="M21">
        <v>1</v>
      </c>
    </row>
    <row r="22" spans="1:13" x14ac:dyDescent="0.2">
      <c r="A22">
        <v>2020</v>
      </c>
      <c r="B22" s="18">
        <f>AVERAGE(B19:B21)</f>
        <v>62408.958333333336</v>
      </c>
      <c r="C22">
        <f>AVERAGE(C19:C21)</f>
        <v>5.333333333333333</v>
      </c>
      <c r="E22" s="18">
        <f>AVERAGE(E19:E21)</f>
        <v>68989.375</v>
      </c>
      <c r="F22">
        <f>AVERAGE(F19:F21)</f>
        <v>10</v>
      </c>
      <c r="H22" s="18">
        <f>AVERAGE(H19:H21)</f>
        <v>69537.5</v>
      </c>
      <c r="I22">
        <f>AVERAGE(I19:I21)</f>
        <v>11</v>
      </c>
      <c r="K22" s="18">
        <f>AVERAGE(K19:K21)</f>
        <v>69866.166666666672</v>
      </c>
      <c r="L22">
        <f>AVERAGE(L19:L21)</f>
        <v>7.666666666666667</v>
      </c>
    </row>
    <row r="23" spans="1:13" x14ac:dyDescent="0.2">
      <c r="A23">
        <v>2021</v>
      </c>
      <c r="B23" s="18">
        <f>AVERAGE(B20:B22)</f>
        <v>61806.069444444445</v>
      </c>
      <c r="C23">
        <f>AVERAGE(C20:C22)</f>
        <v>4.4444444444444438</v>
      </c>
      <c r="E23" s="18">
        <f>AVERAGE(E20:E22)</f>
        <v>68993.791666666672</v>
      </c>
      <c r="F23">
        <f>AVERAGE(F20:F22)</f>
        <v>10.333333333333334</v>
      </c>
      <c r="H23" s="18">
        <f>AVERAGE(H20:H22)</f>
        <v>71586</v>
      </c>
      <c r="I23">
        <f>AVERAGE(I20:I22)</f>
        <v>11</v>
      </c>
      <c r="K23" s="18">
        <f>AVERAGE(K20:K22)</f>
        <v>69773.430555555562</v>
      </c>
      <c r="L23">
        <f>AVERAGE(L20:L22)</f>
        <v>8.2222222222222232</v>
      </c>
    </row>
    <row r="24" spans="1:13" x14ac:dyDescent="0.2">
      <c r="A24">
        <v>2022</v>
      </c>
      <c r="B24" s="18">
        <f>AVERAGE(B21:B23)</f>
        <v>61846.092592592591</v>
      </c>
      <c r="C24">
        <f>AVERAGE(C21:C23)</f>
        <v>4.9259259259259247</v>
      </c>
      <c r="E24" s="18">
        <f>AVERAGE(E21:E23)</f>
        <v>68991.347222222234</v>
      </c>
      <c r="F24">
        <f>AVERAGE(F21:F23)</f>
        <v>10.444444444444445</v>
      </c>
      <c r="H24" s="18">
        <f>AVERAGE(H21:H23)</f>
        <v>71304.708333333328</v>
      </c>
      <c r="I24">
        <f>AVERAGE(I21:I23)</f>
        <v>10.333333333333334</v>
      </c>
      <c r="K24" s="18">
        <f>AVERAGE(K21:K23)</f>
        <v>69981.657407407416</v>
      </c>
      <c r="L24">
        <f>AVERAGE(L21:L23)</f>
        <v>9.6296296296296315</v>
      </c>
    </row>
  </sheetData>
  <pageMargins left="0.7" right="0.7" top="0.75" bottom="0.75" header="0.3" footer="0.3"/>
  <pageSetup scale="65"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8D479-E700-4A59-82F9-2CB70E36CF9C}">
  <sheetPr codeName="Sheet4">
    <pageSetUpPr fitToPage="1"/>
  </sheetPr>
  <dimension ref="A2:J48"/>
  <sheetViews>
    <sheetView showGridLines="0" zoomScaleNormal="100" workbookViewId="0">
      <selection activeCell="B3" sqref="B3"/>
    </sheetView>
  </sheetViews>
  <sheetFormatPr baseColWidth="10" defaultColWidth="8.6640625" defaultRowHeight="15" x14ac:dyDescent="0.2"/>
  <cols>
    <col min="1" max="1" width="8.6640625" style="3"/>
    <col min="2" max="2" width="14.6640625" style="5" bestFit="1" customWidth="1"/>
    <col min="3" max="5" width="8.6640625" style="5"/>
    <col min="6" max="6" width="14.1640625" style="5" bestFit="1" customWidth="1"/>
    <col min="7" max="7" width="12.6640625" style="5" customWidth="1"/>
    <col min="8" max="9" width="15.33203125" style="5" bestFit="1" customWidth="1"/>
    <col min="10" max="16384" width="8.6640625" style="5"/>
  </cols>
  <sheetData>
    <row r="2" spans="2:10" x14ac:dyDescent="0.2">
      <c r="B2" s="4" t="s">
        <v>62</v>
      </c>
    </row>
    <row r="4" spans="2:10" x14ac:dyDescent="0.2">
      <c r="B4" s="7" t="s">
        <v>65</v>
      </c>
    </row>
    <row r="6" spans="2:10" x14ac:dyDescent="0.2">
      <c r="B6" s="5" t="s">
        <v>76</v>
      </c>
    </row>
    <row r="8" spans="2:10" x14ac:dyDescent="0.2">
      <c r="B8" s="7" t="s">
        <v>74</v>
      </c>
    </row>
    <row r="9" spans="2:10" x14ac:dyDescent="0.2">
      <c r="B9" s="5" t="s">
        <v>77</v>
      </c>
      <c r="J9"/>
    </row>
    <row r="10" spans="2:10" x14ac:dyDescent="0.2">
      <c r="B10" s="5" t="s">
        <v>78</v>
      </c>
      <c r="J10"/>
    </row>
    <row r="11" spans="2:10" x14ac:dyDescent="0.2">
      <c r="B11" s="5" t="s">
        <v>79</v>
      </c>
      <c r="J11"/>
    </row>
    <row r="12" spans="2:10" x14ac:dyDescent="0.2">
      <c r="B12" s="5" t="s">
        <v>80</v>
      </c>
      <c r="J12"/>
    </row>
    <row r="13" spans="2:10" x14ac:dyDescent="0.2">
      <c r="J13"/>
    </row>
    <row r="14" spans="2:10" x14ac:dyDescent="0.2">
      <c r="C14"/>
      <c r="D14"/>
      <c r="E14"/>
      <c r="F14"/>
      <c r="G14"/>
      <c r="H14"/>
      <c r="I14"/>
      <c r="J14"/>
    </row>
    <row r="16" spans="2:10" x14ac:dyDescent="0.2">
      <c r="B16" s="5" t="s">
        <v>87</v>
      </c>
    </row>
    <row r="35" spans="2:9" x14ac:dyDescent="0.2">
      <c r="E35" s="7" t="s">
        <v>66</v>
      </c>
      <c r="F35"/>
      <c r="G35"/>
      <c r="H35"/>
      <c r="I35"/>
    </row>
    <row r="36" spans="2:9" x14ac:dyDescent="0.2">
      <c r="E36" s="5" t="s">
        <v>72</v>
      </c>
      <c r="F36"/>
      <c r="G36"/>
      <c r="H36"/>
      <c r="I36" t="s">
        <v>73</v>
      </c>
    </row>
    <row r="37" spans="2:9" x14ac:dyDescent="0.2">
      <c r="E37" s="8" t="s">
        <v>67</v>
      </c>
      <c r="F37" s="9"/>
      <c r="G37" s="9"/>
      <c r="H37" s="9"/>
      <c r="I37" s="13">
        <f>AVERAGE('Raw Data.All_AUX'!B2:B21)</f>
        <v>56322.032499999994</v>
      </c>
    </row>
    <row r="38" spans="2:9" x14ac:dyDescent="0.2">
      <c r="E38" s="8" t="s">
        <v>68</v>
      </c>
      <c r="F38" s="9"/>
      <c r="G38" s="10"/>
      <c r="H38" s="11"/>
      <c r="I38" s="16">
        <f>INDEX('Raw Data.All_AUX'!A2:A21, MATCH(MAX('Raw Data.All_AUX'!B2:B21),'Raw Data.All_AUX'!B2:B21, 0))</f>
        <v>2016</v>
      </c>
    </row>
    <row r="39" spans="2:9" x14ac:dyDescent="0.2">
      <c r="E39" s="8" t="s">
        <v>69</v>
      </c>
      <c r="F39" s="9"/>
      <c r="G39" s="10"/>
      <c r="H39" s="11"/>
      <c r="I39" s="16">
        <f>INDEX('Raw Data.All_AUX'!A2:A21, MATCH(MIN('Raw Data.All_AUX'!B2:B21),'Raw Data.All_AUX'!B2:B21, 0))</f>
        <v>2003</v>
      </c>
    </row>
    <row r="40" spans="2:9" x14ac:dyDescent="0.2">
      <c r="E40" s="8" t="s">
        <v>70</v>
      </c>
      <c r="F40" s="9"/>
      <c r="G40" s="10"/>
      <c r="H40" s="11"/>
      <c r="I40" s="14">
        <f>AVERAGE('Raw Data.All_AUX'!C2:C21)</f>
        <v>6.85</v>
      </c>
    </row>
    <row r="41" spans="2:9" x14ac:dyDescent="0.2">
      <c r="E41" s="8" t="s">
        <v>71</v>
      </c>
      <c r="F41" s="9"/>
      <c r="G41" s="9"/>
      <c r="H41" s="12"/>
      <c r="I41" s="15">
        <f>SUM('Raw Data.All_AUX'!D2:D21)</f>
        <v>4</v>
      </c>
    </row>
    <row r="42" spans="2:9" x14ac:dyDescent="0.2">
      <c r="F42"/>
      <c r="G42"/>
      <c r="H42" s="6"/>
      <c r="I42" s="17"/>
    </row>
    <row r="45" spans="2:9" x14ac:dyDescent="0.2">
      <c r="B45" s="5" t="s">
        <v>63</v>
      </c>
    </row>
    <row r="47" spans="2:9" x14ac:dyDescent="0.2">
      <c r="B47" s="5" t="s">
        <v>64</v>
      </c>
    </row>
    <row r="48" spans="2:9" x14ac:dyDescent="0.2">
      <c r="B48" s="5" t="s">
        <v>75</v>
      </c>
    </row>
  </sheetData>
  <pageMargins left="0.25" right="0.25" top="0.75" bottom="0.75" header="0.3" footer="0.3"/>
  <pageSetup scale="72"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0E996-3A5D-4FF3-A9DC-B24E4FBA730A}">
  <sheetPr codeName="Sheet6">
    <pageSetUpPr fitToPage="1"/>
  </sheetPr>
  <dimension ref="A2:J48"/>
  <sheetViews>
    <sheetView showGridLines="0" zoomScaleNormal="100" workbookViewId="0">
      <selection activeCell="B3" sqref="B3"/>
    </sheetView>
  </sheetViews>
  <sheetFormatPr baseColWidth="10" defaultColWidth="8.6640625" defaultRowHeight="15" x14ac:dyDescent="0.2"/>
  <cols>
    <col min="1" max="1" width="8.6640625" style="3"/>
    <col min="2" max="2" width="14.6640625" style="5" bestFit="1" customWidth="1"/>
    <col min="3" max="5" width="8.6640625" style="5"/>
    <col min="6" max="6" width="14.1640625" style="5" bestFit="1" customWidth="1"/>
    <col min="7" max="7" width="12.6640625" style="5" customWidth="1"/>
    <col min="8" max="9" width="15.33203125" style="5" bestFit="1" customWidth="1"/>
    <col min="10" max="16384" width="8.6640625" style="5"/>
  </cols>
  <sheetData>
    <row r="2" spans="2:10" x14ac:dyDescent="0.2">
      <c r="B2" s="4" t="s">
        <v>62</v>
      </c>
    </row>
    <row r="4" spans="2:10" x14ac:dyDescent="0.2">
      <c r="B4" s="7" t="s">
        <v>84</v>
      </c>
    </row>
    <row r="6" spans="2:10" x14ac:dyDescent="0.2">
      <c r="B6" s="5" t="s">
        <v>76</v>
      </c>
    </row>
    <row r="8" spans="2:10" x14ac:dyDescent="0.2">
      <c r="B8" s="7" t="s">
        <v>74</v>
      </c>
    </row>
    <row r="9" spans="2:10" x14ac:dyDescent="0.2">
      <c r="B9" s="5" t="s">
        <v>81</v>
      </c>
      <c r="J9"/>
    </row>
    <row r="10" spans="2:10" x14ac:dyDescent="0.2">
      <c r="B10" s="5" t="s">
        <v>78</v>
      </c>
      <c r="J10"/>
    </row>
    <row r="11" spans="2:10" x14ac:dyDescent="0.2">
      <c r="B11" s="5" t="s">
        <v>79</v>
      </c>
      <c r="J11"/>
    </row>
    <row r="12" spans="2:10" x14ac:dyDescent="0.2">
      <c r="B12" s="5" t="s">
        <v>80</v>
      </c>
      <c r="J12"/>
    </row>
    <row r="13" spans="2:10" x14ac:dyDescent="0.2">
      <c r="J13"/>
    </row>
    <row r="14" spans="2:10" x14ac:dyDescent="0.2">
      <c r="C14"/>
      <c r="D14"/>
      <c r="E14"/>
      <c r="F14"/>
      <c r="G14"/>
      <c r="H14"/>
      <c r="I14"/>
      <c r="J14"/>
    </row>
    <row r="16" spans="2:10" x14ac:dyDescent="0.2">
      <c r="B16" s="5" t="s">
        <v>86</v>
      </c>
    </row>
    <row r="35" spans="2:9" x14ac:dyDescent="0.2">
      <c r="E35" s="7" t="s">
        <v>66</v>
      </c>
      <c r="F35"/>
      <c r="G35"/>
      <c r="H35"/>
      <c r="I35"/>
    </row>
    <row r="36" spans="2:9" x14ac:dyDescent="0.2">
      <c r="E36" s="5" t="s">
        <v>72</v>
      </c>
      <c r="F36"/>
      <c r="G36"/>
      <c r="H36"/>
      <c r="I36" t="s">
        <v>73</v>
      </c>
    </row>
    <row r="37" spans="2:9" x14ac:dyDescent="0.2">
      <c r="E37" s="8" t="s">
        <v>67</v>
      </c>
      <c r="F37" s="9"/>
      <c r="G37" s="9"/>
      <c r="H37" s="9"/>
      <c r="I37" s="13">
        <f>AVERAGE('Raw Data.All_AUX'!E2:E21)</f>
        <v>67187.168749999997</v>
      </c>
    </row>
    <row r="38" spans="2:9" x14ac:dyDescent="0.2">
      <c r="E38" s="8" t="s">
        <v>68</v>
      </c>
      <c r="F38" s="9"/>
      <c r="G38" s="10"/>
      <c r="H38" s="11"/>
      <c r="I38" s="16">
        <f>INDEX('Raw Data.All_AUX'!A2:A21, MATCH(MAX('Raw Data.All_AUX'!E2:E21),'Raw Data.All_AUX'!E2:E21, 0))</f>
        <v>2016</v>
      </c>
    </row>
    <row r="39" spans="2:9" x14ac:dyDescent="0.2">
      <c r="E39" s="8" t="s">
        <v>69</v>
      </c>
      <c r="F39" s="9"/>
      <c r="G39" s="10"/>
      <c r="H39" s="11"/>
      <c r="I39" s="16">
        <f>INDEX('Raw Data.All_AUX'!A2:A21, MATCH(MIN('Raw Data.All_AUX'!E2:E21),'Raw Data.All_AUX'!E2:E21, 0))</f>
        <v>2000</v>
      </c>
    </row>
    <row r="40" spans="2:9" x14ac:dyDescent="0.2">
      <c r="E40" s="8" t="s">
        <v>70</v>
      </c>
      <c r="F40" s="9"/>
      <c r="G40" s="10"/>
      <c r="H40" s="11"/>
      <c r="I40" s="14">
        <f>AVERAGE('Raw Data.All_AUX'!F2:F21)</f>
        <v>9.1</v>
      </c>
    </row>
    <row r="41" spans="2:9" x14ac:dyDescent="0.2">
      <c r="E41" s="8" t="s">
        <v>71</v>
      </c>
      <c r="F41" s="9"/>
      <c r="G41" s="9"/>
      <c r="H41" s="12"/>
      <c r="I41" s="15">
        <f>SUM('Raw Data.All_AUX'!G2:G21)</f>
        <v>14</v>
      </c>
    </row>
    <row r="42" spans="2:9" x14ac:dyDescent="0.2">
      <c r="F42"/>
      <c r="G42"/>
      <c r="H42" s="6"/>
      <c r="I42" s="17"/>
    </row>
    <row r="45" spans="2:9" x14ac:dyDescent="0.2">
      <c r="B45" s="5" t="s">
        <v>63</v>
      </c>
    </row>
    <row r="47" spans="2:9" x14ac:dyDescent="0.2">
      <c r="B47" s="5" t="s">
        <v>64</v>
      </c>
    </row>
    <row r="48" spans="2:9" x14ac:dyDescent="0.2">
      <c r="B48" s="5" t="s">
        <v>75</v>
      </c>
    </row>
  </sheetData>
  <pageMargins left="0.7" right="0.7" top="0.75" bottom="0.75" header="0.3" footer="0.3"/>
  <pageSetup scale="64"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60BFF-CF63-44C2-BA70-38F987362537}">
  <sheetPr codeName="Sheet7">
    <pageSetUpPr fitToPage="1"/>
  </sheetPr>
  <dimension ref="A2:J48"/>
  <sheetViews>
    <sheetView showGridLines="0" zoomScaleNormal="100" workbookViewId="0">
      <selection activeCell="B3" sqref="B3"/>
    </sheetView>
  </sheetViews>
  <sheetFormatPr baseColWidth="10" defaultColWidth="8.6640625" defaultRowHeight="15" x14ac:dyDescent="0.2"/>
  <cols>
    <col min="1" max="1" width="8.6640625" style="3"/>
    <col min="2" max="2" width="14.6640625" style="5" bestFit="1" customWidth="1"/>
    <col min="3" max="5" width="8.6640625" style="5"/>
    <col min="6" max="6" width="14.1640625" style="5" bestFit="1" customWidth="1"/>
    <col min="7" max="7" width="12.6640625" style="5" customWidth="1"/>
    <col min="8" max="9" width="15.33203125" style="5" bestFit="1" customWidth="1"/>
    <col min="10" max="16384" width="8.6640625" style="5"/>
  </cols>
  <sheetData>
    <row r="2" spans="2:10" x14ac:dyDescent="0.2">
      <c r="B2" s="4" t="s">
        <v>62</v>
      </c>
    </row>
    <row r="4" spans="2:10" x14ac:dyDescent="0.2">
      <c r="B4" s="7" t="s">
        <v>85</v>
      </c>
    </row>
    <row r="6" spans="2:10" x14ac:dyDescent="0.2">
      <c r="B6" s="5" t="s">
        <v>76</v>
      </c>
    </row>
    <row r="8" spans="2:10" x14ac:dyDescent="0.2">
      <c r="B8" s="7" t="s">
        <v>74</v>
      </c>
    </row>
    <row r="9" spans="2:10" x14ac:dyDescent="0.2">
      <c r="B9" s="5" t="s">
        <v>82</v>
      </c>
      <c r="J9"/>
    </row>
    <row r="10" spans="2:10" x14ac:dyDescent="0.2">
      <c r="B10" s="5" t="s">
        <v>78</v>
      </c>
      <c r="J10"/>
    </row>
    <row r="11" spans="2:10" x14ac:dyDescent="0.2">
      <c r="B11" s="5" t="s">
        <v>79</v>
      </c>
      <c r="J11"/>
    </row>
    <row r="12" spans="2:10" x14ac:dyDescent="0.2">
      <c r="B12" s="5" t="s">
        <v>80</v>
      </c>
      <c r="J12"/>
    </row>
    <row r="13" spans="2:10" x14ac:dyDescent="0.2">
      <c r="J13"/>
    </row>
    <row r="14" spans="2:10" x14ac:dyDescent="0.2">
      <c r="C14"/>
      <c r="D14"/>
      <c r="E14"/>
      <c r="F14"/>
      <c r="G14"/>
      <c r="H14"/>
      <c r="I14"/>
      <c r="J14"/>
    </row>
    <row r="16" spans="2:10" x14ac:dyDescent="0.2">
      <c r="B16" s="5" t="s">
        <v>86</v>
      </c>
    </row>
    <row r="35" spans="2:9" x14ac:dyDescent="0.2">
      <c r="E35" s="7" t="s">
        <v>66</v>
      </c>
      <c r="F35"/>
      <c r="G35"/>
      <c r="H35"/>
      <c r="I35"/>
    </row>
    <row r="36" spans="2:9" x14ac:dyDescent="0.2">
      <c r="E36" s="5" t="s">
        <v>72</v>
      </c>
      <c r="F36"/>
      <c r="G36"/>
      <c r="H36"/>
      <c r="I36" t="s">
        <v>73</v>
      </c>
    </row>
    <row r="37" spans="2:9" x14ac:dyDescent="0.2">
      <c r="E37" s="8" t="s">
        <v>67</v>
      </c>
      <c r="F37" s="9"/>
      <c r="G37" s="9"/>
      <c r="H37" s="9"/>
      <c r="I37" s="13">
        <f>AVERAGE('Raw Data.All_AUX'!H2:H21)</f>
        <v>63279.175000000003</v>
      </c>
    </row>
    <row r="38" spans="2:9" x14ac:dyDescent="0.2">
      <c r="E38" s="8" t="s">
        <v>68</v>
      </c>
      <c r="F38" s="9"/>
      <c r="G38" s="10"/>
      <c r="H38" s="11"/>
      <c r="I38" s="16">
        <f>INDEX('Raw Data.All_AUX'!A2:A21, MATCH(MAX('Raw Data.All_AUX'!H2:H21),'Raw Data.All_AUX'!H2:H21, 0))</f>
        <v>2016</v>
      </c>
    </row>
    <row r="39" spans="2:9" x14ac:dyDescent="0.2">
      <c r="E39" s="8" t="s">
        <v>69</v>
      </c>
      <c r="F39" s="9"/>
      <c r="G39" s="10"/>
      <c r="H39" s="11"/>
      <c r="I39" s="16">
        <f>INDEX('Raw Data.All_AUX'!A2:A21, MATCH(MIN('Raw Data.All_AUX'!H2:H21),'Raw Data.All_AUX'!H2:H21, 0))</f>
        <v>2015</v>
      </c>
    </row>
    <row r="40" spans="2:9" x14ac:dyDescent="0.2">
      <c r="E40" s="8" t="s">
        <v>70</v>
      </c>
      <c r="F40" s="9"/>
      <c r="G40" s="10"/>
      <c r="H40" s="11"/>
      <c r="I40" s="14">
        <f>AVERAGE('Raw Data.All_AUX'!I2:I21)</f>
        <v>7.2</v>
      </c>
    </row>
    <row r="41" spans="2:9" x14ac:dyDescent="0.2">
      <c r="E41" s="8" t="s">
        <v>71</v>
      </c>
      <c r="F41" s="9"/>
      <c r="G41" s="9"/>
      <c r="H41" s="12"/>
      <c r="I41" s="15">
        <f>SUM('Raw Data.All_AUX'!J2:J21)</f>
        <v>5</v>
      </c>
    </row>
    <row r="42" spans="2:9" x14ac:dyDescent="0.2">
      <c r="F42"/>
      <c r="G42"/>
      <c r="H42" s="6"/>
      <c r="I42" s="17"/>
    </row>
    <row r="45" spans="2:9" x14ac:dyDescent="0.2">
      <c r="B45" s="5" t="s">
        <v>63</v>
      </c>
    </row>
    <row r="47" spans="2:9" x14ac:dyDescent="0.2">
      <c r="B47" s="5" t="s">
        <v>64</v>
      </c>
    </row>
    <row r="48" spans="2:9" x14ac:dyDescent="0.2">
      <c r="B48" s="5" t="s">
        <v>75</v>
      </c>
    </row>
  </sheetData>
  <pageMargins left="0.7" right="0.7" top="0.75" bottom="0.75" header="0.3" footer="0.3"/>
  <pageSetup scale="64"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97BA37-F781-414E-9D18-C5A80E9A0960}">
  <sheetPr codeName="Sheet8">
    <pageSetUpPr fitToPage="1"/>
  </sheetPr>
  <dimension ref="A2:J48"/>
  <sheetViews>
    <sheetView showGridLines="0" workbookViewId="0">
      <selection activeCell="B3" sqref="B3"/>
    </sheetView>
  </sheetViews>
  <sheetFormatPr baseColWidth="10" defaultColWidth="8.6640625" defaultRowHeight="15" x14ac:dyDescent="0.2"/>
  <cols>
    <col min="1" max="1" width="8.6640625" style="3"/>
    <col min="2" max="2" width="14.6640625" style="5" bestFit="1" customWidth="1"/>
    <col min="3" max="5" width="8.6640625" style="5"/>
    <col min="6" max="6" width="14.1640625" style="5" bestFit="1" customWidth="1"/>
    <col min="7" max="7" width="12.6640625" style="5" customWidth="1"/>
    <col min="8" max="9" width="15.33203125" style="5" bestFit="1" customWidth="1"/>
    <col min="10" max="16384" width="8.6640625" style="5"/>
  </cols>
  <sheetData>
    <row r="2" spans="2:10" x14ac:dyDescent="0.2">
      <c r="B2" s="4" t="s">
        <v>62</v>
      </c>
    </row>
    <row r="4" spans="2:10" x14ac:dyDescent="0.2">
      <c r="B4" s="7" t="s">
        <v>88</v>
      </c>
    </row>
    <row r="6" spans="2:10" x14ac:dyDescent="0.2">
      <c r="B6" s="5" t="s">
        <v>76</v>
      </c>
    </row>
    <row r="8" spans="2:10" x14ac:dyDescent="0.2">
      <c r="B8" s="7" t="s">
        <v>74</v>
      </c>
    </row>
    <row r="9" spans="2:10" x14ac:dyDescent="0.2">
      <c r="B9" s="5" t="s">
        <v>83</v>
      </c>
      <c r="J9"/>
    </row>
    <row r="10" spans="2:10" x14ac:dyDescent="0.2">
      <c r="B10" s="5" t="s">
        <v>78</v>
      </c>
      <c r="J10"/>
    </row>
    <row r="11" spans="2:10" x14ac:dyDescent="0.2">
      <c r="B11" s="5" t="s">
        <v>79</v>
      </c>
      <c r="J11"/>
    </row>
    <row r="12" spans="2:10" x14ac:dyDescent="0.2">
      <c r="B12" s="5" t="s">
        <v>80</v>
      </c>
      <c r="J12"/>
    </row>
    <row r="13" spans="2:10" x14ac:dyDescent="0.2">
      <c r="J13"/>
    </row>
    <row r="14" spans="2:10" x14ac:dyDescent="0.2">
      <c r="C14"/>
      <c r="D14"/>
      <c r="E14"/>
      <c r="F14"/>
      <c r="G14"/>
      <c r="H14"/>
      <c r="I14"/>
      <c r="J14"/>
    </row>
    <row r="16" spans="2:10" x14ac:dyDescent="0.2">
      <c r="B16" s="5" t="s">
        <v>86</v>
      </c>
    </row>
    <row r="35" spans="2:9" x14ac:dyDescent="0.2">
      <c r="E35" s="7" t="s">
        <v>66</v>
      </c>
      <c r="F35"/>
      <c r="G35"/>
      <c r="H35"/>
      <c r="I35"/>
    </row>
    <row r="36" spans="2:9" x14ac:dyDescent="0.2">
      <c r="E36" s="5" t="s">
        <v>72</v>
      </c>
      <c r="F36"/>
      <c r="G36"/>
      <c r="H36"/>
      <c r="I36" t="s">
        <v>73</v>
      </c>
    </row>
    <row r="37" spans="2:9" x14ac:dyDescent="0.2">
      <c r="E37" s="8" t="s">
        <v>67</v>
      </c>
      <c r="F37" s="9"/>
      <c r="G37" s="9"/>
      <c r="H37" s="9"/>
      <c r="I37" s="13">
        <f>AVERAGE('Raw Data.All_AUX'!K2:K21)</f>
        <v>68805.511607142864</v>
      </c>
    </row>
    <row r="38" spans="2:9" x14ac:dyDescent="0.2">
      <c r="E38" s="8" t="s">
        <v>68</v>
      </c>
      <c r="F38" s="9"/>
      <c r="G38" s="10"/>
      <c r="H38" s="11"/>
      <c r="I38" s="16">
        <f>INDEX('Raw Data.All_AUX'!A2:A21, MATCH(MAX('Raw Data.All_AUX'!K2:K21),'Raw Data.All_AUX'!K2:K21, 0))</f>
        <v>2010</v>
      </c>
    </row>
    <row r="39" spans="2:9" x14ac:dyDescent="0.2">
      <c r="E39" s="8" t="s">
        <v>69</v>
      </c>
      <c r="F39" s="9"/>
      <c r="G39" s="10"/>
      <c r="H39" s="11"/>
      <c r="I39" s="16">
        <f>INDEX('Raw Data.All_AUX'!A2:A21, MATCH(MIN('Raw Data.All_AUX'!K2:K21),'Raw Data.All_AUX'!K2:K21, 0))</f>
        <v>2004</v>
      </c>
    </row>
    <row r="40" spans="2:9" x14ac:dyDescent="0.2">
      <c r="E40" s="8" t="s">
        <v>70</v>
      </c>
      <c r="F40" s="9"/>
      <c r="G40" s="10"/>
      <c r="H40" s="11"/>
      <c r="I40" s="14">
        <f>AVERAGE('Raw Data.All_AUX'!L2:L21)</f>
        <v>7.4</v>
      </c>
    </row>
    <row r="41" spans="2:9" x14ac:dyDescent="0.2">
      <c r="E41" s="8" t="s">
        <v>71</v>
      </c>
      <c r="F41" s="9"/>
      <c r="G41" s="9"/>
      <c r="H41" s="12"/>
      <c r="I41" s="15">
        <f>SUM('Raw Data.All_AUX'!M2:M21)</f>
        <v>6</v>
      </c>
    </row>
    <row r="42" spans="2:9" x14ac:dyDescent="0.2">
      <c r="F42"/>
      <c r="G42"/>
      <c r="H42" s="6"/>
      <c r="I42" s="17"/>
    </row>
    <row r="45" spans="2:9" x14ac:dyDescent="0.2">
      <c r="B45" s="5" t="s">
        <v>63</v>
      </c>
    </row>
    <row r="47" spans="2:9" x14ac:dyDescent="0.2">
      <c r="B47" s="5" t="s">
        <v>64</v>
      </c>
    </row>
    <row r="48" spans="2:9" x14ac:dyDescent="0.2">
      <c r="B48" s="5" t="s">
        <v>75</v>
      </c>
    </row>
  </sheetData>
  <pageMargins left="0.7" right="0.7" top="0.75" bottom="0.75" header="0.3" footer="0.3"/>
  <pageSetup scale="64"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54759-837D-9847-A17B-79EFCF6382FB}">
  <dimension ref="A1:M24"/>
  <sheetViews>
    <sheetView workbookViewId="0">
      <selection activeCell="A22" sqref="A22:L24"/>
    </sheetView>
  </sheetViews>
  <sheetFormatPr baseColWidth="10" defaultRowHeight="15" x14ac:dyDescent="0.2"/>
  <sheetData>
    <row r="1" spans="1:13" x14ac:dyDescent="0.2">
      <c r="A1" t="s">
        <v>55</v>
      </c>
      <c r="B1" t="s">
        <v>56</v>
      </c>
      <c r="C1" t="s">
        <v>61</v>
      </c>
      <c r="D1" t="s">
        <v>60</v>
      </c>
      <c r="E1" t="s">
        <v>57</v>
      </c>
      <c r="F1" t="s">
        <v>61</v>
      </c>
      <c r="G1" t="s">
        <v>60</v>
      </c>
      <c r="H1" t="s">
        <v>58</v>
      </c>
      <c r="I1" t="s">
        <v>61</v>
      </c>
      <c r="J1" t="s">
        <v>60</v>
      </c>
      <c r="K1" t="s">
        <v>59</v>
      </c>
      <c r="L1" t="s">
        <v>61</v>
      </c>
      <c r="M1" t="s">
        <v>60</v>
      </c>
    </row>
    <row r="2" spans="1:13" x14ac:dyDescent="0.2">
      <c r="A2">
        <v>2000</v>
      </c>
      <c r="B2">
        <f>'AZ Cardinals'!G18</f>
        <v>48434.375</v>
      </c>
      <c r="C2">
        <v>3</v>
      </c>
      <c r="D2">
        <v>0</v>
      </c>
      <c r="E2">
        <f>'SEA Seahawks'!G36</f>
        <v>60352.25</v>
      </c>
      <c r="F2">
        <v>6</v>
      </c>
      <c r="G2">
        <v>0</v>
      </c>
      <c r="H2">
        <f>'LA STL Rams'!G18</f>
        <v>66050.25</v>
      </c>
      <c r="I2">
        <v>10</v>
      </c>
      <c r="J2">
        <v>0</v>
      </c>
      <c r="K2">
        <f>'SF 49ers'!G18</f>
        <v>67708.857142857145</v>
      </c>
      <c r="L2">
        <v>6</v>
      </c>
      <c r="M2">
        <v>0</v>
      </c>
    </row>
    <row r="3" spans="1:13" x14ac:dyDescent="0.2">
      <c r="A3">
        <v>2001</v>
      </c>
      <c r="B3">
        <f>'AZ Cardinals'!G36</f>
        <v>38414.375</v>
      </c>
      <c r="C3">
        <v>7</v>
      </c>
      <c r="D3">
        <v>0</v>
      </c>
      <c r="E3">
        <f>'SEA Seahawks'!G54</f>
        <v>63077.625</v>
      </c>
      <c r="F3">
        <v>9</v>
      </c>
      <c r="G3">
        <v>0</v>
      </c>
      <c r="H3">
        <f>'LA STL Rams'!G36</f>
        <v>66103.625</v>
      </c>
      <c r="I3">
        <v>14</v>
      </c>
      <c r="J3">
        <v>1</v>
      </c>
      <c r="K3">
        <f>'SF 49ers'!G36</f>
        <v>67469.5</v>
      </c>
      <c r="L3">
        <v>12</v>
      </c>
      <c r="M3">
        <v>1</v>
      </c>
    </row>
    <row r="4" spans="1:13" x14ac:dyDescent="0.2">
      <c r="A4">
        <v>2002</v>
      </c>
      <c r="B4">
        <f>'AZ Cardinals'!G54</f>
        <v>40909</v>
      </c>
      <c r="C4">
        <v>5</v>
      </c>
      <c r="D4">
        <v>0</v>
      </c>
      <c r="E4">
        <f>'SEA Seahawks'!G72</f>
        <v>64018.75</v>
      </c>
      <c r="F4">
        <v>7</v>
      </c>
      <c r="G4">
        <v>1</v>
      </c>
      <c r="H4">
        <f>'LA STL Rams'!G54</f>
        <v>66062.25</v>
      </c>
      <c r="I4">
        <v>7</v>
      </c>
      <c r="J4">
        <v>0</v>
      </c>
      <c r="K4">
        <f>'SF 49ers'!G54</f>
        <v>67699.125</v>
      </c>
      <c r="L4">
        <v>10</v>
      </c>
      <c r="M4">
        <v>1</v>
      </c>
    </row>
    <row r="5" spans="1:13" x14ac:dyDescent="0.2">
      <c r="A5">
        <v>2003</v>
      </c>
      <c r="B5">
        <f>'AZ Cardinals'!G72</f>
        <v>36062.375</v>
      </c>
      <c r="C5">
        <v>4</v>
      </c>
      <c r="D5">
        <v>0</v>
      </c>
      <c r="E5">
        <f>'SEA Seahawks'!G91</f>
        <v>66679.5</v>
      </c>
      <c r="F5">
        <v>10</v>
      </c>
      <c r="G5">
        <v>1</v>
      </c>
      <c r="H5">
        <f>'LA STL Rams'!G72</f>
        <v>66057</v>
      </c>
      <c r="I5">
        <v>12</v>
      </c>
      <c r="J5">
        <v>1</v>
      </c>
      <c r="K5">
        <f>'SF 49ers'!G72</f>
        <v>67580.5</v>
      </c>
      <c r="L5">
        <v>7</v>
      </c>
      <c r="M5">
        <v>0</v>
      </c>
    </row>
    <row r="6" spans="1:13" x14ac:dyDescent="0.2">
      <c r="A6">
        <v>2004</v>
      </c>
      <c r="B6">
        <f>'AZ Cardinals'!G91</f>
        <v>38695.599999999999</v>
      </c>
      <c r="C6">
        <v>6</v>
      </c>
      <c r="D6">
        <v>0</v>
      </c>
      <c r="E6">
        <f>'SEA Seahawks'!G109</f>
        <v>66619.25</v>
      </c>
      <c r="F6">
        <v>9</v>
      </c>
      <c r="G6">
        <v>1</v>
      </c>
      <c r="H6">
        <f>'LA STL Rams'!G91</f>
        <v>65923</v>
      </c>
      <c r="I6">
        <v>8</v>
      </c>
      <c r="J6">
        <v>1</v>
      </c>
      <c r="K6">
        <f>'SF 49ers'!G91</f>
        <v>64783.875</v>
      </c>
      <c r="L6">
        <v>2</v>
      </c>
      <c r="M6">
        <v>0</v>
      </c>
    </row>
    <row r="7" spans="1:13" x14ac:dyDescent="0.2">
      <c r="A7">
        <v>2005</v>
      </c>
      <c r="B7">
        <f>'AZ Cardinals'!G109</f>
        <v>45129.375</v>
      </c>
      <c r="C7">
        <v>5</v>
      </c>
      <c r="D7">
        <v>0</v>
      </c>
      <c r="E7">
        <f>'SEA Seahawks'!G127</f>
        <v>67977.5</v>
      </c>
      <c r="F7">
        <v>13</v>
      </c>
      <c r="G7">
        <v>1</v>
      </c>
      <c r="H7">
        <f>'LA STL Rams'!G109</f>
        <v>65460.625</v>
      </c>
      <c r="I7">
        <v>6</v>
      </c>
      <c r="J7">
        <v>0</v>
      </c>
      <c r="K7">
        <f>'SF 49ers'!G109</f>
        <v>65428.25</v>
      </c>
      <c r="L7">
        <v>4</v>
      </c>
      <c r="M7">
        <v>0</v>
      </c>
    </row>
    <row r="8" spans="1:13" x14ac:dyDescent="0.2">
      <c r="A8">
        <v>2006</v>
      </c>
      <c r="B8">
        <f>'AZ Cardinals'!G127</f>
        <v>63603.625</v>
      </c>
      <c r="C8">
        <v>5</v>
      </c>
      <c r="D8">
        <v>0</v>
      </c>
      <c r="E8">
        <f>'SEA Seahawks'!G145</f>
        <v>68193.875</v>
      </c>
      <c r="F8">
        <v>9</v>
      </c>
      <c r="G8">
        <v>1</v>
      </c>
      <c r="H8">
        <f>'LA STL Rams'!G127</f>
        <v>65326.25</v>
      </c>
      <c r="I8">
        <v>8</v>
      </c>
      <c r="J8">
        <v>0</v>
      </c>
      <c r="K8">
        <f>'SF 49ers'!G127</f>
        <v>68150.875</v>
      </c>
      <c r="L8">
        <v>7</v>
      </c>
      <c r="M8">
        <v>0</v>
      </c>
    </row>
    <row r="9" spans="1:13" x14ac:dyDescent="0.2">
      <c r="A9">
        <v>2007</v>
      </c>
      <c r="B9">
        <f>'AZ Cardinals'!G145</f>
        <v>64487</v>
      </c>
      <c r="C9">
        <v>8</v>
      </c>
      <c r="D9">
        <v>0</v>
      </c>
      <c r="E9">
        <f>'SEA Seahawks'!G163</f>
        <v>67995.625</v>
      </c>
      <c r="F9">
        <v>10</v>
      </c>
      <c r="G9">
        <v>0</v>
      </c>
      <c r="H9">
        <f>'LA STL Rams'!G145</f>
        <v>64294.25</v>
      </c>
      <c r="I9">
        <v>3</v>
      </c>
      <c r="J9">
        <v>0</v>
      </c>
      <c r="K9">
        <f>'SF 49ers'!G145</f>
        <v>68028.25</v>
      </c>
      <c r="L9">
        <v>5</v>
      </c>
      <c r="M9">
        <v>0</v>
      </c>
    </row>
    <row r="10" spans="1:13" x14ac:dyDescent="0.2">
      <c r="A10">
        <v>2008</v>
      </c>
      <c r="B10">
        <f>'AZ Cardinals'!G163</f>
        <v>64144.800000000003</v>
      </c>
      <c r="C10">
        <v>9</v>
      </c>
      <c r="D10">
        <v>1</v>
      </c>
      <c r="E10">
        <f>'SEA Seahawks'!G181</f>
        <v>67392.625</v>
      </c>
      <c r="F10">
        <v>4</v>
      </c>
      <c r="G10">
        <v>0</v>
      </c>
      <c r="H10">
        <f>'LA STL Rams'!G163</f>
        <v>59980.375</v>
      </c>
      <c r="I10">
        <v>2</v>
      </c>
      <c r="J10">
        <v>0</v>
      </c>
      <c r="K10">
        <f>'SF 49ers'!G163</f>
        <v>67512.875</v>
      </c>
      <c r="L10">
        <v>7</v>
      </c>
      <c r="M10">
        <v>0</v>
      </c>
    </row>
    <row r="11" spans="1:13" x14ac:dyDescent="0.2">
      <c r="A11">
        <v>2009</v>
      </c>
      <c r="B11">
        <f>'AZ Cardinals'!G181</f>
        <v>63142.875</v>
      </c>
      <c r="C11">
        <v>10</v>
      </c>
      <c r="D11">
        <v>1</v>
      </c>
      <c r="E11">
        <f>'SEA Seahawks'!G199</f>
        <v>66992.75</v>
      </c>
      <c r="F11">
        <v>5</v>
      </c>
      <c r="G11">
        <v>1</v>
      </c>
      <c r="H11">
        <f>'LA STL Rams'!G181</f>
        <v>55237.625</v>
      </c>
      <c r="I11">
        <v>1</v>
      </c>
      <c r="J11">
        <v>0</v>
      </c>
      <c r="K11">
        <f>'SF 49ers'!G181</f>
        <v>69732</v>
      </c>
      <c r="L11">
        <v>8</v>
      </c>
      <c r="M11">
        <v>0</v>
      </c>
    </row>
    <row r="12" spans="1:13" x14ac:dyDescent="0.2">
      <c r="A12">
        <v>2010</v>
      </c>
      <c r="B12">
        <f>'AZ Cardinals'!G199</f>
        <v>62774.625</v>
      </c>
      <c r="C12">
        <v>5</v>
      </c>
      <c r="D12">
        <v>0</v>
      </c>
      <c r="E12">
        <f>'SEA Seahawks'!G217</f>
        <v>66413.875</v>
      </c>
      <c r="F12">
        <v>7</v>
      </c>
      <c r="G12">
        <v>0</v>
      </c>
      <c r="H12">
        <f>'LA STL Rams'!G199</f>
        <v>52922.875</v>
      </c>
      <c r="I12">
        <v>7</v>
      </c>
      <c r="J12">
        <v>0</v>
      </c>
      <c r="K12">
        <f>'SF 49ers'!G199</f>
        <v>71508.125</v>
      </c>
      <c r="L12">
        <v>6</v>
      </c>
      <c r="M12">
        <v>0</v>
      </c>
    </row>
    <row r="13" spans="1:13" x14ac:dyDescent="0.2">
      <c r="A13">
        <v>2011</v>
      </c>
      <c r="B13">
        <f>'AZ Cardinals'!G217</f>
        <v>61181.875</v>
      </c>
      <c r="C13">
        <v>8</v>
      </c>
      <c r="D13">
        <v>0</v>
      </c>
      <c r="E13">
        <f>'SEA Seahawks'!G235</f>
        <v>67946.25</v>
      </c>
      <c r="F13">
        <v>7</v>
      </c>
      <c r="G13">
        <v>1</v>
      </c>
      <c r="H13">
        <f>'LA STL Rams'!G217</f>
        <v>56394.125</v>
      </c>
      <c r="I13">
        <v>2</v>
      </c>
      <c r="J13">
        <v>0</v>
      </c>
      <c r="K13">
        <f>'SF 49ers'!G217</f>
        <v>69732</v>
      </c>
      <c r="L13">
        <v>13</v>
      </c>
      <c r="M13">
        <v>1</v>
      </c>
    </row>
    <row r="14" spans="1:13" x14ac:dyDescent="0.2">
      <c r="A14">
        <v>2012</v>
      </c>
      <c r="B14">
        <f>'AZ Cardinals'!G235</f>
        <v>60890.625</v>
      </c>
      <c r="C14">
        <v>5</v>
      </c>
      <c r="D14">
        <v>0</v>
      </c>
      <c r="E14">
        <f>'SEA Seahawks'!G253</f>
        <v>68197.125</v>
      </c>
      <c r="F14">
        <v>11</v>
      </c>
      <c r="G14">
        <v>1</v>
      </c>
      <c r="H14">
        <f>'LA STL Rams'!G235</f>
        <v>57616.125</v>
      </c>
      <c r="I14">
        <v>7</v>
      </c>
      <c r="J14">
        <v>0</v>
      </c>
      <c r="K14">
        <f>'SF 49ers'!G235</f>
        <v>69732</v>
      </c>
      <c r="L14">
        <v>11</v>
      </c>
      <c r="M14">
        <v>1</v>
      </c>
    </row>
    <row r="15" spans="1:13" x14ac:dyDescent="0.2">
      <c r="A15">
        <v>2013</v>
      </c>
      <c r="B15">
        <f>'AZ Cardinals'!G253</f>
        <v>61033.875</v>
      </c>
      <c r="C15">
        <v>10</v>
      </c>
      <c r="D15">
        <v>0</v>
      </c>
      <c r="E15">
        <f>'SEA Seahawks'!G271</f>
        <v>68412.25</v>
      </c>
      <c r="F15">
        <v>13</v>
      </c>
      <c r="G15">
        <v>1</v>
      </c>
      <c r="H15">
        <f>'LA STL Rams'!G253</f>
        <v>56957.125</v>
      </c>
      <c r="I15">
        <v>7</v>
      </c>
      <c r="J15">
        <v>0</v>
      </c>
      <c r="K15">
        <f>'SF 49ers'!G253</f>
        <v>69732</v>
      </c>
      <c r="L15">
        <v>12</v>
      </c>
      <c r="M15">
        <v>1</v>
      </c>
    </row>
    <row r="16" spans="1:13" x14ac:dyDescent="0.2">
      <c r="A16">
        <v>2014</v>
      </c>
      <c r="B16">
        <f>'AZ Cardinals'!G271</f>
        <v>61292</v>
      </c>
      <c r="C16">
        <v>11</v>
      </c>
      <c r="D16">
        <v>1</v>
      </c>
      <c r="E16">
        <f>'SEA Seahawks'!G271</f>
        <v>68412.25</v>
      </c>
      <c r="F16">
        <v>12</v>
      </c>
      <c r="G16">
        <v>1</v>
      </c>
      <c r="H16">
        <f>'LA STL Rams'!G271</f>
        <v>57018.25</v>
      </c>
      <c r="I16">
        <v>6</v>
      </c>
      <c r="J16">
        <v>0</v>
      </c>
      <c r="K16">
        <f>'SF 49ers'!G271</f>
        <v>70774</v>
      </c>
      <c r="L16">
        <v>8</v>
      </c>
      <c r="M16">
        <v>0</v>
      </c>
    </row>
    <row r="17" spans="1:13" x14ac:dyDescent="0.2">
      <c r="A17">
        <v>2015</v>
      </c>
      <c r="B17">
        <f>'AZ Cardinals'!G289</f>
        <v>64185.875</v>
      </c>
      <c r="C17">
        <v>13</v>
      </c>
      <c r="D17">
        <v>1</v>
      </c>
      <c r="E17">
        <f>'SEA Seahawks'!G289</f>
        <v>69020.25</v>
      </c>
      <c r="F17">
        <v>10</v>
      </c>
      <c r="G17">
        <v>1</v>
      </c>
      <c r="H17">
        <f>'LA STL Rams'!G289</f>
        <v>52402.5</v>
      </c>
      <c r="I17">
        <v>7</v>
      </c>
      <c r="J17">
        <v>0</v>
      </c>
      <c r="K17">
        <f>'SF 49ers'!G289</f>
        <v>70761.5</v>
      </c>
      <c r="L17">
        <v>5</v>
      </c>
      <c r="M17">
        <v>0</v>
      </c>
    </row>
    <row r="18" spans="1:13" x14ac:dyDescent="0.2">
      <c r="A18">
        <v>2016</v>
      </c>
      <c r="B18">
        <f>'AZ Cardinals'!G307</f>
        <v>64831.5</v>
      </c>
      <c r="C18">
        <v>7</v>
      </c>
      <c r="D18">
        <v>0</v>
      </c>
      <c r="E18">
        <f>'SEA Seahawks'!G307</f>
        <v>69073.5</v>
      </c>
      <c r="F18">
        <v>10</v>
      </c>
      <c r="G18">
        <v>0</v>
      </c>
      <c r="H18">
        <f>'LA STL Rams'!G307</f>
        <v>83164.75</v>
      </c>
      <c r="I18">
        <v>4</v>
      </c>
      <c r="J18">
        <v>0</v>
      </c>
      <c r="K18">
        <f>'SF 49ers'!G307</f>
        <v>70178</v>
      </c>
      <c r="L18">
        <v>2</v>
      </c>
      <c r="M18">
        <v>0</v>
      </c>
    </row>
    <row r="19" spans="1:13" x14ac:dyDescent="0.2">
      <c r="A19">
        <v>2017</v>
      </c>
      <c r="B19">
        <f>'AZ Cardinals'!G324</f>
        <v>64217.625</v>
      </c>
      <c r="C19">
        <v>8</v>
      </c>
      <c r="D19">
        <v>0</v>
      </c>
      <c r="E19">
        <f>'SEA Seahawks'!G324</f>
        <v>68976.125</v>
      </c>
      <c r="F19">
        <v>9</v>
      </c>
      <c r="G19">
        <v>1</v>
      </c>
      <c r="H19">
        <f>'LA STL Rams'!G324</f>
        <v>63392</v>
      </c>
      <c r="I19">
        <v>11</v>
      </c>
      <c r="J19">
        <v>1</v>
      </c>
      <c r="K19">
        <f>'SF 49ers'!G324</f>
        <v>70144.375</v>
      </c>
      <c r="L19">
        <v>6</v>
      </c>
      <c r="M19">
        <v>0</v>
      </c>
    </row>
    <row r="20" spans="1:13" x14ac:dyDescent="0.2">
      <c r="A20">
        <v>2018</v>
      </c>
      <c r="B20">
        <f>'AZ Cardinals'!G343</f>
        <v>61686</v>
      </c>
      <c r="C20">
        <v>3</v>
      </c>
      <c r="D20">
        <v>0</v>
      </c>
      <c r="E20">
        <f>'SEA Seahawks'!G343</f>
        <v>69001.125</v>
      </c>
      <c r="F20">
        <v>10</v>
      </c>
      <c r="G20">
        <v>1</v>
      </c>
      <c r="H20">
        <f>'LA STL Rams'!G343</f>
        <v>72429.875</v>
      </c>
      <c r="I20">
        <v>13</v>
      </c>
      <c r="J20">
        <v>1</v>
      </c>
      <c r="K20">
        <f>'SF 49ers'!G343</f>
        <v>69148.75</v>
      </c>
      <c r="L20">
        <v>4</v>
      </c>
      <c r="M20">
        <v>0</v>
      </c>
    </row>
    <row r="21" spans="1:13" x14ac:dyDescent="0.2">
      <c r="A21">
        <v>2019</v>
      </c>
      <c r="B21">
        <f>'AZ Cardinals'!G361</f>
        <v>61323.25</v>
      </c>
      <c r="C21">
        <v>5</v>
      </c>
      <c r="D21">
        <v>0</v>
      </c>
      <c r="E21">
        <f>'SEA Seahawks'!G361</f>
        <v>68990.875</v>
      </c>
      <c r="F21">
        <v>11</v>
      </c>
      <c r="G21">
        <v>1</v>
      </c>
      <c r="H21">
        <f>'LA STL Rams'!G361</f>
        <v>72790.625</v>
      </c>
      <c r="I21">
        <v>9</v>
      </c>
      <c r="J21">
        <v>0</v>
      </c>
      <c r="K21">
        <f>'SF 49ers'!G361</f>
        <v>70305.375</v>
      </c>
      <c r="L21">
        <v>13</v>
      </c>
      <c r="M21">
        <v>1</v>
      </c>
    </row>
    <row r="22" spans="1:13" x14ac:dyDescent="0.2">
      <c r="A22">
        <v>2020</v>
      </c>
      <c r="B22">
        <v>62408.958333333336</v>
      </c>
      <c r="C22">
        <v>5.333333333333333</v>
      </c>
      <c r="E22">
        <v>68989.375</v>
      </c>
      <c r="F22">
        <v>10</v>
      </c>
      <c r="H22">
        <v>69537.5</v>
      </c>
      <c r="I22">
        <v>11</v>
      </c>
      <c r="K22">
        <v>69866.166666666672</v>
      </c>
      <c r="L22">
        <v>7.666666666666667</v>
      </c>
    </row>
    <row r="23" spans="1:13" x14ac:dyDescent="0.2">
      <c r="A23">
        <v>2021</v>
      </c>
      <c r="B23">
        <v>61806.069444444445</v>
      </c>
      <c r="C23">
        <v>4.4444444444444438</v>
      </c>
      <c r="E23">
        <v>68993.791666666672</v>
      </c>
      <c r="F23">
        <v>10.333333333333334</v>
      </c>
      <c r="H23">
        <v>71586</v>
      </c>
      <c r="I23">
        <v>11</v>
      </c>
      <c r="K23">
        <v>69773.430555555562</v>
      </c>
      <c r="L23">
        <v>8.2222222222222232</v>
      </c>
    </row>
    <row r="24" spans="1:13" x14ac:dyDescent="0.2">
      <c r="A24">
        <v>2022</v>
      </c>
      <c r="B24">
        <v>61846.092592592591</v>
      </c>
      <c r="C24">
        <v>4.9259259259259247</v>
      </c>
      <c r="E24">
        <v>68991.347222222234</v>
      </c>
      <c r="F24">
        <v>10.444444444444445</v>
      </c>
      <c r="H24">
        <v>71304.708333333328</v>
      </c>
      <c r="I24">
        <v>10.333333333333334</v>
      </c>
      <c r="K24">
        <v>69981.657407407416</v>
      </c>
      <c r="L24">
        <v>9.6296296296296315</v>
      </c>
    </row>
  </sheetData>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AZ Cardinals</vt:lpstr>
      <vt:lpstr>SEA Seahawks</vt:lpstr>
      <vt:lpstr>LA STL Rams</vt:lpstr>
      <vt:lpstr>SF 49ers</vt:lpstr>
      <vt:lpstr>Main Sheet</vt:lpstr>
      <vt:lpstr>Raw Data.All_AUX</vt:lpstr>
      <vt:lpstr>Cardinals PDF</vt:lpstr>
      <vt:lpstr>Seahawks PDF</vt:lpstr>
      <vt:lpstr>Rams PDF</vt:lpstr>
      <vt:lpstr>49ers PDF</vt:lpstr>
      <vt:lpstr>Raw Data.All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Christopher Melkonian</dc:creator>
  <cp:keywords/>
  <dc:description/>
  <cp:lastModifiedBy>Alec Peffer</cp:lastModifiedBy>
  <cp:revision/>
  <cp:lastPrinted>2025-05-14T19:16:21Z</cp:lastPrinted>
  <dcterms:created xsi:type="dcterms:W3CDTF">2025-04-09T20:49:17Z</dcterms:created>
  <dcterms:modified xsi:type="dcterms:W3CDTF">2025-05-14T19:16:49Z</dcterms:modified>
  <cp:category/>
  <cp:contentStatus/>
</cp:coreProperties>
</file>